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6e0d54eb00b48f00/Documents/Mradula - Data Anlysis/"/>
    </mc:Choice>
  </mc:AlternateContent>
  <xr:revisionPtr revIDLastSave="17" documentId="8_{D613F093-1D16-49A2-A72F-9335625DD809}" xr6:coauthVersionLast="47" xr6:coauthVersionMax="47" xr10:uidLastSave="{996DD443-F931-4A01-A6AC-312FE4F2989C}"/>
  <bookViews>
    <workbookView xWindow="-108" yWindow="-108" windowWidth="23256" windowHeight="12456" activeTab="1" xr2:uid="{14EF552D-8E2D-4BBB-BEDE-005A061B1F3E}"/>
  </bookViews>
  <sheets>
    <sheet name="Pivot Report" sheetId="1" r:id="rId1"/>
    <sheet name="Dashboard" sheetId="2" r:id="rId2"/>
    <sheet name="Avg Patient Saticfaction Score" sheetId="5" r:id="rId3"/>
    <sheet name="Avg wait time" sheetId="4" r:id="rId4"/>
    <sheet name="Daily ER No Of Patient" sheetId="3" r:id="rId5"/>
  </sheets>
  <definedNames>
    <definedName name="Slicer_Date__Month">#N/A</definedName>
    <definedName name="Slicer_Date__Year">#N/A</definedName>
  </definedNames>
  <calcPr calcId="191029"/>
  <pivotCaches>
    <pivotCache cacheId="1126" r:id="rId6"/>
    <pivotCache cacheId="1129" r:id="rId7"/>
    <pivotCache cacheId="1132" r:id="rId8"/>
    <pivotCache cacheId="1135" r:id="rId9"/>
    <pivotCache cacheId="1138" r:id="rId10"/>
    <pivotCache cacheId="1141" r:id="rId11"/>
    <pivotCache cacheId="1144" r:id="rId12"/>
    <pivotCache cacheId="1147" r:id="rId13"/>
    <pivotCache cacheId="1150" r:id="rId14"/>
    <pivotCache cacheId="1153" r:id="rId15"/>
    <pivotCache cacheId="1156" r:id="rId16"/>
    <pivotCache cacheId="1159" r:id="rId17"/>
  </pivotCaches>
  <extLst>
    <ext xmlns:x14="http://schemas.microsoft.com/office/spreadsheetml/2009/9/main" uri="{876F7934-8845-4945-9796-88D515C7AA90}">
      <x14:pivotCaches>
        <pivotCache cacheId="59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9d7ce69-d268-4439-8d0d-2594075afacf" name="Hospital Emergency Room Data" connection="Query - Hospital Emergency Room Data"/>
          <x15:modelTable id="Calendar_table_856eb8d4-8be0-44b4-9919-ddc064784d4a"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0" i="1" l="1"/>
  <c r="C50" i="1"/>
  <c r="A50" i="1"/>
  <c r="B51" i="1"/>
  <c r="C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128696-0134-4C60-A0E0-32BD3A95A3EE}" name="Query - Calendar_table" description="Connection to the 'Calendar_table' query in the workbook." type="100" refreshedVersion="8" minRefreshableVersion="5">
    <extLst>
      <ext xmlns:x15="http://schemas.microsoft.com/office/spreadsheetml/2010/11/main" uri="{DE250136-89BD-433C-8126-D09CA5730AF9}">
        <x15:connection id="0e5b999f-4e1e-47f2-96f7-707a15b04c12"/>
      </ext>
    </extLst>
  </connection>
  <connection id="2" xr16:uid="{9D1F276B-1989-464A-A570-59E59A64EFB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a0b1979-2216-4780-af6a-ffeec0244f43"/>
      </ext>
    </extLst>
  </connection>
  <connection id="3" xr16:uid="{62CE97DF-4BD9-4485-865C-C76EF9A596D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<sst xmlns="http://schemas.openxmlformats.org/spreadsheetml/2006/main" count="154" uniqueCount="74">
  <si>
    <t>Distinct Count of Patient Id</t>
  </si>
  <si>
    <t>No of Patint</t>
  </si>
  <si>
    <t>Average of Patient Waittime</t>
  </si>
  <si>
    <t>Average of Patient Satisfaction Score</t>
  </si>
  <si>
    <t>Row Labels</t>
  </si>
  <si>
    <t>Grand Total</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</si>
  <si>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</si>
  <si>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</si>
  <si>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</si>
  <si>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</si>
  <si>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</si>
  <si>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</si>
  <si>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</si>
  <si>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</si>
  <si>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</si>
  <si>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</si>
  <si>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</si>
  <si>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</si>
  <si>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</si>
  <si>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</si>
  <si>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</si>
  <si>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</si>
  <si>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</si>
  <si>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</si>
  <si>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</si>
  <si>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</si>
  <si>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</si>
  <si>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</si>
  <si>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</si>
  <si>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</si>
  <si>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</si>
  <si>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</si>
  <si>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</si>
  <si>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</si>
  <si>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</si>
  <si>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</si>
  <si>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</si>
  <si>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</si>
  <si>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Daily Trends of no of patients</t>
  </si>
  <si>
    <t>Avg. Wait Time</t>
  </si>
  <si>
    <t>Avg Paitent Saticfaction score</t>
  </si>
  <si>
    <t>Admitted</t>
  </si>
  <si>
    <t>Not Admitted</t>
  </si>
  <si>
    <t>Count of Patient Admission Flag</t>
  </si>
  <si>
    <t>Count of Patient Admission Flag2</t>
  </si>
  <si>
    <t>Admission Status</t>
  </si>
  <si>
    <t>No Of Patient</t>
  </si>
  <si>
    <t>% Status</t>
  </si>
  <si>
    <t>0-09</t>
  </si>
  <si>
    <t>10-19</t>
  </si>
  <si>
    <t>20-29</t>
  </si>
  <si>
    <t>30-39</t>
  </si>
  <si>
    <t>40-49</t>
  </si>
  <si>
    <t>50-59</t>
  </si>
  <si>
    <t>60-69</t>
  </si>
  <si>
    <t>70-79</t>
  </si>
  <si>
    <t>Count of Age Group</t>
  </si>
  <si>
    <t xml:space="preserve">Age group vie analysis </t>
  </si>
  <si>
    <t>Delay</t>
  </si>
  <si>
    <t>On Time</t>
  </si>
  <si>
    <t>Count of Patient Attend Status</t>
  </si>
  <si>
    <t>Attendance Status</t>
  </si>
  <si>
    <t>Female</t>
  </si>
  <si>
    <t>Male</t>
  </si>
  <si>
    <t>Count of Patient Gender</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</si>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</sst>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tint="0.49998474074526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2" fontId="0" fillId="0" borderId="0" xfId="0" applyNumberFormat="1"/>
    <xf numFmtId="0" fontId="0" fillId="3" borderId="0" xfId="0" applyFill="1"/>
    <xf numFmtId="0" fontId="0" fillId="0" borderId="0" xfId="0" applyAlignment="1">
      <alignment horizontal="left"/>
    </xf>
    <xf numFmtId="10" fontId="0" fillId="0" borderId="0" xfId="0" applyNumberFormat="1"/>
    <xf numFmtId="0" fontId="1" fillId="2" borderId="1" xfId="0" applyFont="1" applyFill="1" applyBorder="1" applyAlignment="1">
      <alignment horizontal="center"/>
    </xf>
    <xf numFmtId="0" fontId="0" fillId="0" borderId="0" xfId="0" applyAlignment="1">
      <alignment horizontal="center"/>
    </xf>
    <xf numFmtId="10" fontId="0" fillId="0" borderId="0" xfId="0" applyNumberFormat="1" applyAlignment="1">
      <alignment horizontal="center"/>
    </xf>
    <xf numFmtId="1" fontId="0" fillId="0" borderId="0" xfId="0" applyNumberFormat="1"/>
  </cellXfs>
  <cellStyles count="1">
    <cellStyle name="Normal" xfId="0" builtinId="0"/>
  </cellStyles>
  <dxfs count="86">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font>
        <b/>
        <color theme="1"/>
      </font>
      <border>
        <bottom style="thin">
          <color theme="5"/>
        </bottom>
        <vertical/>
        <horizontal/>
      </border>
    </dxf>
    <dxf>
      <font>
        <b val="0"/>
        <i val="0"/>
        <sz val="6"/>
        <color theme="1"/>
      </font>
      <fill>
        <patternFill>
          <bgColor theme="2"/>
        </patternFill>
      </fill>
      <border diagonalUp="0" diagonalDown="0">
        <left/>
        <right/>
        <top/>
        <bottom/>
        <vertical/>
        <horizontal/>
      </border>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My STyle" pivot="0" table="0" count="10" xr9:uid="{DCB3CEF8-868C-4746-90C6-2DC7DC8B0EC5}">
      <tableStyleElement type="wholeTable" dxfId="37"/>
      <tableStyleElement type="headerRow" dxfId="36"/>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s>
    <c:plotArea>
      <c:layout>
        <c:manualLayout>
          <c:layoutTarget val="inner"/>
          <c:xMode val="edge"/>
          <c:yMode val="edge"/>
          <c:x val="4.0424512153372132E-3"/>
          <c:y val="0.1150993497284882"/>
          <c:w val="0.94674057742782147"/>
          <c:h val="0.84204505686789155"/>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solidFill>
            <a:ln>
              <a:noFill/>
            </a:ln>
            <a:effectLst/>
          </c:spPr>
          <c:invertIfNegative val="0"/>
          <c:dLbls>
            <c:dLbl>
              <c:idx val="0"/>
              <c:showLegendKey val="0"/>
              <c:showVal val="0"/>
              <c:showCatName val="0"/>
              <c:showSerName val="0"/>
              <c:showPercent val="0"/>
              <c:showBubbleSize val="0"/>
              <c:extLst>
                <c:ext xmlns:c15="http://schemas.microsoft.com/office/drawing/2012/chart" uri="{CE6537A1-D6FC-4f65-9D91-7224C49458BB}">
                  <c15:showDataLabelsRange val="1"/>
                </c:ext>
              </c:extLst>
            </c:dLbl>
            <c:dLbl>
              <c:idx val="1"/>
              <c:showLegendKey val="0"/>
              <c:showVal val="0"/>
              <c:showCatName val="0"/>
              <c:showSerName val="0"/>
              <c:showPercent val="0"/>
              <c:showBubbleSize val="0"/>
              <c:extLst>
                <c:ext xmlns:c15="http://schemas.microsoft.com/office/drawing/2012/chart" uri="{CE6537A1-D6FC-4f65-9D91-7224C49458BB}">
                  <c15:showDataLabelsRange val="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Report'!$A$43:$A$45</c:f>
              <c:strCache>
                <c:ptCount val="2"/>
                <c:pt idx="0">
                  <c:v>Admitted</c:v>
                </c:pt>
                <c:pt idx="1">
                  <c:v>Not Admitted</c:v>
                </c:pt>
              </c:strCache>
            </c:strRef>
          </c:cat>
          <c:val>
            <c:numRef>
              <c:f>'Pivot Report'!$B$43:$B$45</c:f>
              <c:numCache>
                <c:formatCode>0.00</c:formatCode>
                <c:ptCount val="2"/>
                <c:pt idx="0">
                  <c:v>229</c:v>
                </c:pt>
                <c:pt idx="1">
                  <c:v>251</c:v>
                </c:pt>
              </c:numCache>
            </c:numRef>
          </c:val>
          <c:extLst>
            <c:ext xmlns:c16="http://schemas.microsoft.com/office/drawing/2014/chart" uri="{C3380CC4-5D6E-409C-BE32-E72D297353CC}">
              <c16:uniqueId val="{00000009-9D82-4F9C-9778-6DFE3755D97C}"/>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0.47708333333333336</c:v>
                </c:pt>
                <c:pt idx="1">
                  <c:v>0.5229166666666667</c:v>
                </c:pt>
              </c:numCache>
            </c:numRef>
          </c:val>
          <c:extLst>
            <c:ext xmlns:c16="http://schemas.microsoft.com/office/drawing/2014/chart" uri="{C3380CC4-5D6E-409C-BE32-E72D297353CC}">
              <c16:uniqueId val="{0000000A-9D82-4F9C-9778-6DFE3755D97C}"/>
            </c:ext>
          </c:extLst>
        </c:ser>
        <c:dLbls>
          <c:showLegendKey val="0"/>
          <c:showVal val="0"/>
          <c:showCatName val="0"/>
          <c:showSerName val="0"/>
          <c:showPercent val="0"/>
          <c:showBubbleSize val="0"/>
        </c:dLbls>
        <c:gapWidth val="182"/>
        <c:axId val="2133969791"/>
        <c:axId val="2133970751"/>
      </c:barChart>
      <c:catAx>
        <c:axId val="2133969791"/>
        <c:scaling>
          <c:orientation val="minMax"/>
        </c:scaling>
        <c:delete val="1"/>
        <c:axPos val="l"/>
        <c:numFmt formatCode="General" sourceLinked="1"/>
        <c:majorTickMark val="none"/>
        <c:minorTickMark val="none"/>
        <c:tickLblPos val="nextTo"/>
        <c:crossAx val="2133970751"/>
        <c:crosses val="autoZero"/>
        <c:auto val="1"/>
        <c:lblAlgn val="ctr"/>
        <c:lblOffset val="100"/>
        <c:noMultiLvlLbl val="0"/>
      </c:catAx>
      <c:valAx>
        <c:axId val="2133970751"/>
        <c:scaling>
          <c:orientation val="minMax"/>
        </c:scaling>
        <c:delete val="1"/>
        <c:axPos val="b"/>
        <c:numFmt formatCode="0.00" sourceLinked="1"/>
        <c:majorTickMark val="none"/>
        <c:minorTickMark val="none"/>
        <c:tickLblPos val="nextTo"/>
        <c:crossAx val="213396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3196370700195E-3"/>
          <c:y val="0.46083861411940902"/>
          <c:w val="0.97666690593714489"/>
          <c:h val="0.50814769815771277"/>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Report'!$I$5:$I$36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4-5459-4340-9270-7AC3FE6886C9}"/>
            </c:ext>
          </c:extLst>
        </c:ser>
        <c:dLbls>
          <c:showLegendKey val="0"/>
          <c:showVal val="0"/>
          <c:showCatName val="0"/>
          <c:showSerName val="0"/>
          <c:showPercent val="0"/>
          <c:showBubbleSize val="0"/>
        </c:dLbls>
        <c:axId val="1967909855"/>
        <c:axId val="1967902175"/>
      </c:areaChart>
      <c:catAx>
        <c:axId val="1967909855"/>
        <c:scaling>
          <c:orientation val="minMax"/>
        </c:scaling>
        <c:delete val="1"/>
        <c:axPos val="b"/>
        <c:numFmt formatCode="General" sourceLinked="1"/>
        <c:majorTickMark val="out"/>
        <c:minorTickMark val="none"/>
        <c:tickLblPos val="nextTo"/>
        <c:crossAx val="1967902175"/>
        <c:crosses val="autoZero"/>
        <c:auto val="1"/>
        <c:lblAlgn val="ctr"/>
        <c:lblOffset val="100"/>
        <c:noMultiLvlLbl val="0"/>
      </c:catAx>
      <c:valAx>
        <c:axId val="1967902175"/>
        <c:scaling>
          <c:orientation val="minMax"/>
        </c:scaling>
        <c:delete val="1"/>
        <c:axPos val="l"/>
        <c:numFmt formatCode="General" sourceLinked="1"/>
        <c:majorTickMark val="none"/>
        <c:minorTickMark val="none"/>
        <c:tickLblPos val="nextTo"/>
        <c:crossAx val="196790985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7171086457887E-2"/>
          <c:y val="0.14868713358719418"/>
          <c:w val="0.91326600798264945"/>
          <c:h val="0.73979751622241008"/>
        </c:manualLayout>
      </c:layout>
      <c:areaChart>
        <c:grouping val="standard"/>
        <c:varyColors val="0"/>
        <c:ser>
          <c:idx val="0"/>
          <c:order val="0"/>
          <c:tx>
            <c:strRef>
              <c:f>'Pivot Report'!$O$4</c:f>
              <c:strCache>
                <c:ptCount val="1"/>
                <c:pt idx="0">
                  <c:v>Total</c:v>
                </c:pt>
              </c:strCache>
            </c:strRef>
          </c:tx>
          <c:spPr>
            <a:solidFill>
              <a:schemeClr val="accent1"/>
            </a:solidFill>
            <a:ln w="25400">
              <a:noFill/>
            </a:ln>
            <a:effectLst/>
          </c:spPr>
          <c:cat>
            <c:strRef>
              <c:f>'Pivot Report'!$N$5:$N$36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Report'!$O$5:$O$36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4-A5FC-42EA-9091-32BDC6E30A58}"/>
            </c:ext>
          </c:extLst>
        </c:ser>
        <c:dLbls>
          <c:showLegendKey val="0"/>
          <c:showVal val="0"/>
          <c:showCatName val="0"/>
          <c:showSerName val="0"/>
          <c:showPercent val="0"/>
          <c:showBubbleSize val="0"/>
        </c:dLbls>
        <c:axId val="2133954431"/>
        <c:axId val="2133952991"/>
      </c:areaChart>
      <c:catAx>
        <c:axId val="2133954431"/>
        <c:scaling>
          <c:orientation val="minMax"/>
        </c:scaling>
        <c:delete val="1"/>
        <c:axPos val="b"/>
        <c:numFmt formatCode="General" sourceLinked="1"/>
        <c:majorTickMark val="out"/>
        <c:minorTickMark val="none"/>
        <c:tickLblPos val="nextTo"/>
        <c:crossAx val="2133952991"/>
        <c:crosses val="autoZero"/>
        <c:auto val="1"/>
        <c:lblAlgn val="ctr"/>
        <c:lblOffset val="100"/>
        <c:noMultiLvlLbl val="0"/>
      </c:catAx>
      <c:valAx>
        <c:axId val="2133952991"/>
        <c:scaling>
          <c:orientation val="minMax"/>
        </c:scaling>
        <c:delete val="1"/>
        <c:axPos val="l"/>
        <c:numFmt formatCode="0.00" sourceLinked="1"/>
        <c:majorTickMark val="none"/>
        <c:minorTickMark val="none"/>
        <c:tickLblPos val="nextTo"/>
        <c:crossAx val="21339544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102473699987156E-2"/>
          <c:y val="9.0864211663530536E-3"/>
          <c:w val="0.93378820103629889"/>
          <c:h val="0.90004936717011641"/>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Report'!$E$5:$E$35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4-9CAC-4166-B945-9528A0A61AF8}"/>
            </c:ext>
          </c:extLst>
        </c:ser>
        <c:dLbls>
          <c:showLegendKey val="0"/>
          <c:showVal val="0"/>
          <c:showCatName val="0"/>
          <c:showSerName val="0"/>
          <c:showPercent val="0"/>
          <c:showBubbleSize val="0"/>
        </c:dLbls>
        <c:axId val="2133950111"/>
        <c:axId val="2133959711"/>
      </c:areaChart>
      <c:catAx>
        <c:axId val="2133950111"/>
        <c:scaling>
          <c:orientation val="minMax"/>
        </c:scaling>
        <c:delete val="1"/>
        <c:axPos val="b"/>
        <c:numFmt formatCode="General" sourceLinked="1"/>
        <c:majorTickMark val="out"/>
        <c:minorTickMark val="none"/>
        <c:tickLblPos val="nextTo"/>
        <c:crossAx val="2133959711"/>
        <c:crosses val="autoZero"/>
        <c:auto val="1"/>
        <c:lblAlgn val="ctr"/>
        <c:lblOffset val="100"/>
        <c:noMultiLvlLbl val="0"/>
      </c:catAx>
      <c:valAx>
        <c:axId val="2133959711"/>
        <c:scaling>
          <c:orientation val="minMax"/>
        </c:scaling>
        <c:delete val="1"/>
        <c:axPos val="l"/>
        <c:numFmt formatCode="0.00" sourceLinked="1"/>
        <c:majorTickMark val="none"/>
        <c:minorTickMark val="none"/>
        <c:tickLblPos val="nextTo"/>
        <c:crossAx val="21339501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85969204334637E-2"/>
          <c:y val="0.2535644542873664"/>
          <c:w val="0.91122806159133074"/>
          <c:h val="0.34543050283628196"/>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4-5066-46FB-A65C-059C6CB12C90}"/>
            </c:ext>
          </c:extLst>
        </c:ser>
        <c:dLbls>
          <c:showLegendKey val="0"/>
          <c:showVal val="0"/>
          <c:showCatName val="0"/>
          <c:showSerName val="0"/>
          <c:showPercent val="0"/>
          <c:showBubbleSize val="0"/>
        </c:dLbls>
        <c:gapWidth val="219"/>
        <c:overlap val="-27"/>
        <c:axId val="1973606175"/>
        <c:axId val="1973605215"/>
      </c:barChart>
      <c:catAx>
        <c:axId val="197360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05215"/>
        <c:crosses val="autoZero"/>
        <c:auto val="1"/>
        <c:lblAlgn val="ctr"/>
        <c:lblOffset val="100"/>
        <c:noMultiLvlLbl val="0"/>
      </c:catAx>
      <c:valAx>
        <c:axId val="1973605215"/>
        <c:scaling>
          <c:orientation val="minMax"/>
        </c:scaling>
        <c:delete val="1"/>
        <c:axPos val="l"/>
        <c:numFmt formatCode="0" sourceLinked="1"/>
        <c:majorTickMark val="none"/>
        <c:minorTickMark val="none"/>
        <c:tickLblPos val="nextTo"/>
        <c:crossAx val="197360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1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784868943680384"/>
          <c:y val="0.20077621937680409"/>
          <c:w val="0.70284665196860618"/>
          <c:h val="0.76005816248488889"/>
        </c:manualLayout>
      </c:layout>
      <c:pieChart>
        <c:varyColors val="1"/>
        <c:ser>
          <c:idx val="0"/>
          <c:order val="0"/>
          <c:tx>
            <c:strRef>
              <c:f>'Pivot Report'!$B$67</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 Time</c:v>
                </c:pt>
              </c:strCache>
            </c:strRef>
          </c:cat>
          <c:val>
            <c:numRef>
              <c:f>'Pivot Report'!$B$68:$B$70</c:f>
              <c:numCache>
                <c:formatCode>0</c:formatCode>
                <c:ptCount val="2"/>
                <c:pt idx="0">
                  <c:v>282</c:v>
                </c:pt>
                <c:pt idx="1">
                  <c:v>198</c:v>
                </c:pt>
              </c:numCache>
            </c:numRef>
          </c:val>
          <c:extLst>
            <c:ext xmlns:c16="http://schemas.microsoft.com/office/drawing/2014/chart" uri="{C3380CC4-5D6E-409C-BE32-E72D297353CC}">
              <c16:uniqueId val="{00000008-5E23-4584-9BEE-165A8F77444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360250586747159"/>
          <c:y val="1.8611378383045912E-3"/>
          <c:w val="0.68996785605302779"/>
          <c:h val="0.18359114795351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7915585148403101"/>
              <c:y val="-1.0760117183598972E-16"/>
            </c:manualLayout>
          </c:layout>
          <c:spPr>
            <a:noFill/>
            <a:ln>
              <a:noFill/>
            </a:ln>
            <a:effectLst/>
          </c:spPr>
          <c:txPr>
            <a:bodyPr rot="0" spcFirstLastPara="1" vertOverflow="clip" horzOverflow="clip" wrap="none" lIns="0" tIns="0" rIns="0" bIns="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2"/>
          </a:solidFill>
          <a:ln>
            <a:noFill/>
          </a:ln>
          <a:effectLst/>
        </c:spPr>
        <c:dLbl>
          <c:idx val="0"/>
          <c:layout>
            <c:manualLayout>
              <c:x val="-0.16537463213910567"/>
              <c:y val="-1.173844525679015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97712534615819"/>
          <c:y val="0.17882181132528896"/>
          <c:w val="0.61150471382809735"/>
          <c:h val="0.82117838863127501"/>
        </c:manualLayout>
      </c:layout>
      <c:doughnutChart>
        <c:varyColors val="1"/>
        <c:ser>
          <c:idx val="0"/>
          <c:order val="0"/>
          <c:tx>
            <c:strRef>
              <c:f>'Pivot Report'!$B$73</c:f>
              <c:strCache>
                <c:ptCount val="1"/>
                <c:pt idx="0">
                  <c:v>Total</c:v>
                </c:pt>
              </c:strCache>
            </c:strRef>
          </c:tx>
          <c:spPr>
            <a:ln>
              <a:noFill/>
            </a:ln>
            <a:effectLst/>
          </c:spPr>
          <c:dPt>
            <c:idx val="0"/>
            <c:bubble3D val="0"/>
            <c:spPr>
              <a:solidFill>
                <a:schemeClr val="accent1"/>
              </a:solidFill>
              <a:ln>
                <a:noFill/>
              </a:ln>
              <a:effectLst/>
            </c:spPr>
          </c:dPt>
          <c:dPt>
            <c:idx val="1"/>
            <c:bubble3D val="0"/>
            <c:spPr>
              <a:solidFill>
                <a:schemeClr val="accent2"/>
              </a:solidFill>
              <a:ln>
                <a:noFill/>
              </a:ln>
              <a:effectLst/>
            </c:spPr>
            <c:extLst>
              <c:ext xmlns:c16="http://schemas.microsoft.com/office/drawing/2014/chart" uri="{C3380CC4-5D6E-409C-BE32-E72D297353CC}">
                <c16:uniqueId val="{0000000B-13E5-42C0-86AE-DEEB3FC2401A}"/>
              </c:ext>
            </c:extLst>
          </c:dPt>
          <c:dLbls>
            <c:dLbl>
              <c:idx val="0"/>
              <c:layout>
                <c:manualLayout>
                  <c:x val="0.17915585148403101"/>
                  <c:y val="-1.0760117183598972E-16"/>
                </c:manualLayout>
              </c:layout>
              <c:spPr>
                <a:noFill/>
                <a:ln>
                  <a:noFill/>
                </a:ln>
                <a:effectLst/>
              </c:spPr>
              <c:txPr>
                <a:bodyPr rot="0" spcFirstLastPara="1" vertOverflow="clip" horzOverflow="clip" wrap="none" lIns="0" tIns="0" rIns="0" bIns="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dLbl>
              <c:idx val="1"/>
              <c:layout>
                <c:manualLayout>
                  <c:x val="-0.16537463213910567"/>
                  <c:y val="-1.1738445256790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3E5-42C0-86AE-DEEB3FC2401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Report'!$A$74:$A$76</c:f>
              <c:strCache>
                <c:ptCount val="2"/>
                <c:pt idx="0">
                  <c:v>Female</c:v>
                </c:pt>
                <c:pt idx="1">
                  <c:v>Male</c:v>
                </c:pt>
              </c:strCache>
            </c:strRef>
          </c:cat>
          <c:val>
            <c:numRef>
              <c:f>'Pivot Report'!$B$74:$B$76</c:f>
              <c:numCache>
                <c:formatCode>0</c:formatCode>
                <c:ptCount val="2"/>
                <c:pt idx="0">
                  <c:v>261</c:v>
                </c:pt>
                <c:pt idx="1">
                  <c:v>219</c:v>
                </c:pt>
              </c:numCache>
            </c:numRef>
          </c:val>
          <c:extLst>
            <c:ext xmlns:c16="http://schemas.microsoft.com/office/drawing/2014/chart" uri="{C3380CC4-5D6E-409C-BE32-E72D297353CC}">
              <c16:uniqueId val="{0000000A-13E5-42C0-86AE-DEEB3FC2401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3470056774283157"/>
          <c:y val="1.1392761908282999E-2"/>
          <c:w val="0.71370601946298828"/>
          <c:h val="0.19129598905644157"/>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Report'!$B$79</c:f>
              <c:strCache>
                <c:ptCount val="1"/>
                <c:pt idx="0">
                  <c:v>Total</c:v>
                </c:pt>
              </c:strCache>
            </c:strRef>
          </c:tx>
          <c:spPr>
            <a:solidFill>
              <a:schemeClr val="accent1"/>
            </a:solidFill>
            <a:ln>
              <a:noFill/>
            </a:ln>
            <a:effectLst/>
          </c:spPr>
          <c:invertIfNegative val="0"/>
          <c:cat>
            <c:strRef>
              <c:f>'Pivot Report'!$A$80:$A$88</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Report'!$B$80:$B$88</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4-0192-4BA2-9342-C2A2B95FC431}"/>
            </c:ext>
          </c:extLst>
        </c:ser>
        <c:dLbls>
          <c:showLegendKey val="0"/>
          <c:showVal val="0"/>
          <c:showCatName val="0"/>
          <c:showSerName val="0"/>
          <c:showPercent val="0"/>
          <c:showBubbleSize val="0"/>
        </c:dLbls>
        <c:gapWidth val="182"/>
        <c:axId val="2128724079"/>
        <c:axId val="2128724559"/>
      </c:barChart>
      <c:catAx>
        <c:axId val="212872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724559"/>
        <c:crosses val="autoZero"/>
        <c:auto val="1"/>
        <c:lblAlgn val="ctr"/>
        <c:lblOffset val="100"/>
        <c:noMultiLvlLbl val="0"/>
      </c:catAx>
      <c:valAx>
        <c:axId val="2128724559"/>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128724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47594050743657E-2"/>
          <c:y val="0.20611376848921922"/>
          <c:w val="0.86223140857392822"/>
          <c:h val="0.59264650329923718"/>
        </c:manualLayout>
      </c:layout>
      <c:areaChart>
        <c:grouping val="standard"/>
        <c:varyColors val="0"/>
        <c:ser>
          <c:idx val="0"/>
          <c:order val="0"/>
          <c:tx>
            <c:strRef>
              <c:f>'Pivot Report'!$E$4</c:f>
              <c:strCache>
                <c:ptCount val="1"/>
                <c:pt idx="0">
                  <c:v>Total</c:v>
                </c:pt>
              </c:strCache>
            </c:strRef>
          </c:tx>
          <c:spPr>
            <a:solidFill>
              <a:schemeClr val="accent1">
                <a:alpha val="85000"/>
              </a:schemeClr>
            </a:solidFill>
            <a:ln>
              <a:noFill/>
            </a:ln>
            <a:effectLst>
              <a:innerShdw dist="12700" dir="16200000">
                <a:schemeClr val="lt1"/>
              </a:innerShdw>
            </a:effectLst>
          </c:spPr>
          <c:cat>
            <c:strRef>
              <c:f>'Pivot Report'!$D$5:$D$35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Report'!$E$5:$E$35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3-826F-4886-9D81-FAD42CB4E6E6}"/>
            </c:ext>
          </c:extLst>
        </c:ser>
        <c:dLbls>
          <c:showLegendKey val="0"/>
          <c:showVal val="0"/>
          <c:showCatName val="0"/>
          <c:showSerName val="0"/>
          <c:showPercent val="0"/>
          <c:showBubbleSize val="0"/>
        </c:dLbls>
        <c:axId val="2133950111"/>
        <c:axId val="2133959711"/>
      </c:areaChart>
      <c:catAx>
        <c:axId val="2133950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3959711"/>
        <c:crosses val="autoZero"/>
        <c:auto val="1"/>
        <c:lblAlgn val="ctr"/>
        <c:lblOffset val="100"/>
        <c:noMultiLvlLbl val="0"/>
      </c:catAx>
      <c:valAx>
        <c:axId val="21339597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39501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25844213562755E-2"/>
          <c:y val="0.19382637660244459"/>
          <c:w val="0.90119460307078225"/>
          <c:h val="0.69657823634694582"/>
        </c:manualLayout>
      </c:layout>
      <c:areaChart>
        <c:grouping val="standard"/>
        <c:varyColors val="0"/>
        <c:ser>
          <c:idx val="0"/>
          <c:order val="0"/>
          <c:tx>
            <c:strRef>
              <c:f>'Pivot Report'!$O$4</c:f>
              <c:strCache>
                <c:ptCount val="1"/>
                <c:pt idx="0">
                  <c:v>Total</c:v>
                </c:pt>
              </c:strCache>
            </c:strRef>
          </c:tx>
          <c:spPr>
            <a:solidFill>
              <a:schemeClr val="accent1">
                <a:alpha val="85000"/>
              </a:schemeClr>
            </a:solidFill>
            <a:ln>
              <a:noFill/>
            </a:ln>
            <a:effectLst>
              <a:innerShdw dist="12700" dir="16200000">
                <a:schemeClr val="lt1"/>
              </a:innerShdw>
            </a:effectLst>
          </c:spPr>
          <c:cat>
            <c:strRef>
              <c:f>'Pivot Report'!$N$5:$N$36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Report'!$O$5:$O$36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3-20ED-4A61-BD59-F6F8BCDB7C46}"/>
            </c:ext>
          </c:extLst>
        </c:ser>
        <c:dLbls>
          <c:showLegendKey val="0"/>
          <c:showVal val="0"/>
          <c:showCatName val="0"/>
          <c:showSerName val="0"/>
          <c:showPercent val="0"/>
          <c:showBubbleSize val="0"/>
        </c:dLbls>
        <c:axId val="2133954431"/>
        <c:axId val="2133952991"/>
      </c:areaChart>
      <c:catAx>
        <c:axId val="2133954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3952991"/>
        <c:crosses val="autoZero"/>
        <c:auto val="1"/>
        <c:lblAlgn val="ctr"/>
        <c:lblOffset val="100"/>
        <c:noMultiLvlLbl val="0"/>
      </c:catAx>
      <c:valAx>
        <c:axId val="21339529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39544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25400">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1927391633661"/>
          <c:y val="0.25824555695636259"/>
          <c:w val="0.82919849836503712"/>
          <c:h val="0.50814769815771277"/>
        </c:manualLayout>
      </c:layout>
      <c:areaChart>
        <c:grouping val="standard"/>
        <c:varyColors val="0"/>
        <c:ser>
          <c:idx val="0"/>
          <c:order val="0"/>
          <c:tx>
            <c:strRef>
              <c:f>'Pivot Report'!$I$4</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Report'!$H$5:$H$36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Report'!$I$5:$I$36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3-458A-41A3-8D62-E61BF8741FF4}"/>
            </c:ext>
          </c:extLst>
        </c:ser>
        <c:dLbls>
          <c:showLegendKey val="0"/>
          <c:showVal val="0"/>
          <c:showCatName val="0"/>
          <c:showSerName val="0"/>
          <c:showPercent val="0"/>
          <c:showBubbleSize val="0"/>
        </c:dLbls>
        <c:axId val="1967909855"/>
        <c:axId val="1967902175"/>
      </c:areaChart>
      <c:catAx>
        <c:axId val="1967909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7902175"/>
        <c:crosses val="autoZero"/>
        <c:auto val="1"/>
        <c:lblAlgn val="ctr"/>
        <c:lblOffset val="100"/>
        <c:noMultiLvlLbl val="0"/>
      </c:catAx>
      <c:valAx>
        <c:axId val="19679021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67909855"/>
        <c:crosses val="autoZero"/>
        <c:crossBetween val="midCat"/>
      </c:valAx>
      <c:spPr>
        <a:noFill/>
        <a:ln>
          <a:noFill/>
        </a:ln>
        <a:effectLst/>
      </c:spPr>
    </c:plotArea>
    <c:plotVisOnly val="1"/>
    <c:dispBlanksAs val="zero"/>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Patient Satic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19049</xdr:colOff>
      <xdr:row>49</xdr:row>
      <xdr:rowOff>19049</xdr:rowOff>
    </xdr:from>
    <xdr:to>
      <xdr:col>4</xdr:col>
      <xdr:colOff>600074</xdr:colOff>
      <xdr:row>51</xdr:row>
      <xdr:rowOff>38100</xdr:rowOff>
    </xdr:to>
    <xdr:graphicFrame macro="">
      <xdr:nvGraphicFramePr>
        <xdr:cNvPr id="7" name="Chart 6">
          <a:extLst>
            <a:ext uri="{FF2B5EF4-FFF2-40B4-BE49-F238E27FC236}">
              <a16:creationId xmlns:a16="http://schemas.microsoft.com/office/drawing/2014/main" id="{D2620142-16E5-FF5A-0879-CA12C8F22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51766</xdr:colOff>
      <xdr:row>0</xdr:row>
      <xdr:rowOff>139769</xdr:rowOff>
    </xdr:from>
    <xdr:to>
      <xdr:col>4</xdr:col>
      <xdr:colOff>341657</xdr:colOff>
      <xdr:row>2</xdr:row>
      <xdr:rowOff>129415</xdr:rowOff>
    </xdr:to>
    <xdr:sp macro="" textlink="">
      <xdr:nvSpPr>
        <xdr:cNvPr id="2" name="Rectangle: Rounded Corners 1">
          <a:extLst>
            <a:ext uri="{FF2B5EF4-FFF2-40B4-BE49-F238E27FC236}">
              <a16:creationId xmlns:a16="http://schemas.microsoft.com/office/drawing/2014/main" id="{C939D3FD-2CD5-027C-1862-1D1D48417208}"/>
            </a:ext>
          </a:extLst>
        </xdr:cNvPr>
        <xdr:cNvSpPr/>
      </xdr:nvSpPr>
      <xdr:spPr>
        <a:xfrm>
          <a:off x="51766" y="139769"/>
          <a:ext cx="2733261" cy="37271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393423</xdr:colOff>
      <xdr:row>0</xdr:row>
      <xdr:rowOff>144946</xdr:rowOff>
    </xdr:from>
    <xdr:to>
      <xdr:col>6</xdr:col>
      <xdr:colOff>248479</xdr:colOff>
      <xdr:row>2</xdr:row>
      <xdr:rowOff>134592</xdr:rowOff>
    </xdr:to>
    <xdr:sp macro="" textlink="">
      <xdr:nvSpPr>
        <xdr:cNvPr id="3" name="Rectangle: Rounded Corners 2">
          <a:extLst>
            <a:ext uri="{FF2B5EF4-FFF2-40B4-BE49-F238E27FC236}">
              <a16:creationId xmlns:a16="http://schemas.microsoft.com/office/drawing/2014/main" id="{5A7010F8-6F1E-4D5E-B909-9EDD9144E23F}"/>
            </a:ext>
          </a:extLst>
        </xdr:cNvPr>
        <xdr:cNvSpPr/>
      </xdr:nvSpPr>
      <xdr:spPr>
        <a:xfrm>
          <a:off x="2836793" y="144946"/>
          <a:ext cx="1076740" cy="37271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297345</xdr:colOff>
      <xdr:row>0</xdr:row>
      <xdr:rowOff>100634</xdr:rowOff>
    </xdr:from>
    <xdr:to>
      <xdr:col>9</xdr:col>
      <xdr:colOff>258830</xdr:colOff>
      <xdr:row>7</xdr:row>
      <xdr:rowOff>176006</xdr:rowOff>
    </xdr:to>
    <xdr:sp macro="" textlink="">
      <xdr:nvSpPr>
        <xdr:cNvPr id="4" name="Rectangle: Rounded Corners 3">
          <a:extLst>
            <a:ext uri="{FF2B5EF4-FFF2-40B4-BE49-F238E27FC236}">
              <a16:creationId xmlns:a16="http://schemas.microsoft.com/office/drawing/2014/main" id="{8CDD670C-5076-420A-8501-944BDBD85BA8}"/>
            </a:ext>
          </a:extLst>
        </xdr:cNvPr>
        <xdr:cNvSpPr/>
      </xdr:nvSpPr>
      <xdr:spPr>
        <a:xfrm>
          <a:off x="3962399" y="100634"/>
          <a:ext cx="1794013" cy="1416119"/>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46591</xdr:colOff>
      <xdr:row>3</xdr:row>
      <xdr:rowOff>15529</xdr:rowOff>
    </xdr:from>
    <xdr:to>
      <xdr:col>0</xdr:col>
      <xdr:colOff>512487</xdr:colOff>
      <xdr:row>17</xdr:row>
      <xdr:rowOff>155297</xdr:rowOff>
    </xdr:to>
    <xdr:sp macro="" textlink="">
      <xdr:nvSpPr>
        <xdr:cNvPr id="6" name="Rectangle: Rounded Corners 5">
          <a:extLst>
            <a:ext uri="{FF2B5EF4-FFF2-40B4-BE49-F238E27FC236}">
              <a16:creationId xmlns:a16="http://schemas.microsoft.com/office/drawing/2014/main" id="{B4BFBF40-ECAA-407E-8981-63EB5F2C3E46}"/>
            </a:ext>
          </a:extLst>
        </xdr:cNvPr>
        <xdr:cNvSpPr/>
      </xdr:nvSpPr>
      <xdr:spPr>
        <a:xfrm>
          <a:off x="46591" y="590135"/>
          <a:ext cx="465896" cy="2821263"/>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9</xdr:col>
      <xdr:colOff>341658</xdr:colOff>
      <xdr:row>0</xdr:row>
      <xdr:rowOff>103533</xdr:rowOff>
    </xdr:from>
    <xdr:to>
      <xdr:col>11</xdr:col>
      <xdr:colOff>926617</xdr:colOff>
      <xdr:row>7</xdr:row>
      <xdr:rowOff>168647</xdr:rowOff>
    </xdr:to>
    <xdr:sp macro="" textlink="">
      <xdr:nvSpPr>
        <xdr:cNvPr id="5" name="Rectangle: Rounded Corners 4">
          <a:extLst>
            <a:ext uri="{FF2B5EF4-FFF2-40B4-BE49-F238E27FC236}">
              <a16:creationId xmlns:a16="http://schemas.microsoft.com/office/drawing/2014/main" id="{D0484190-0B7D-44B2-963B-B7F8B155AA10}"/>
            </a:ext>
          </a:extLst>
        </xdr:cNvPr>
        <xdr:cNvSpPr/>
      </xdr:nvSpPr>
      <xdr:spPr>
        <a:xfrm>
          <a:off x="5839240" y="103533"/>
          <a:ext cx="1806643" cy="1405861"/>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602767</xdr:colOff>
      <xdr:row>3</xdr:row>
      <xdr:rowOff>12631</xdr:rowOff>
    </xdr:from>
    <xdr:to>
      <xdr:col>2</xdr:col>
      <xdr:colOff>393424</xdr:colOff>
      <xdr:row>7</xdr:row>
      <xdr:rowOff>165651</xdr:rowOff>
    </xdr:to>
    <xdr:sp macro="" textlink="">
      <xdr:nvSpPr>
        <xdr:cNvPr id="7" name="Rectangle: Rounded Corners 6">
          <a:extLst>
            <a:ext uri="{FF2B5EF4-FFF2-40B4-BE49-F238E27FC236}">
              <a16:creationId xmlns:a16="http://schemas.microsoft.com/office/drawing/2014/main" id="{0A55046A-60D9-4EB0-A43D-ED58BE53E6A2}"/>
            </a:ext>
          </a:extLst>
        </xdr:cNvPr>
        <xdr:cNvSpPr/>
      </xdr:nvSpPr>
      <xdr:spPr>
        <a:xfrm>
          <a:off x="602767" y="587237"/>
          <a:ext cx="1012342" cy="919161"/>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496335</xdr:colOff>
      <xdr:row>3</xdr:row>
      <xdr:rowOff>20085</xdr:rowOff>
    </xdr:from>
    <xdr:to>
      <xdr:col>4</xdr:col>
      <xdr:colOff>284714</xdr:colOff>
      <xdr:row>7</xdr:row>
      <xdr:rowOff>165651</xdr:rowOff>
    </xdr:to>
    <xdr:sp macro="" textlink="">
      <xdr:nvSpPr>
        <xdr:cNvPr id="8" name="Rectangle: Rounded Corners 7">
          <a:extLst>
            <a:ext uri="{FF2B5EF4-FFF2-40B4-BE49-F238E27FC236}">
              <a16:creationId xmlns:a16="http://schemas.microsoft.com/office/drawing/2014/main" id="{BF3E007D-23C3-4507-A6A9-E9C4F41A11ED}"/>
            </a:ext>
          </a:extLst>
        </xdr:cNvPr>
        <xdr:cNvSpPr/>
      </xdr:nvSpPr>
      <xdr:spPr>
        <a:xfrm>
          <a:off x="1718020" y="594691"/>
          <a:ext cx="1010064" cy="911707"/>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383070</xdr:colOff>
      <xdr:row>3</xdr:row>
      <xdr:rowOff>0</xdr:rowOff>
    </xdr:from>
    <xdr:to>
      <xdr:col>6</xdr:col>
      <xdr:colOff>212242</xdr:colOff>
      <xdr:row>7</xdr:row>
      <xdr:rowOff>124239</xdr:rowOff>
    </xdr:to>
    <xdr:sp macro="" textlink="">
      <xdr:nvSpPr>
        <xdr:cNvPr id="9" name="Rectangle: Rounded Corners 8">
          <a:extLst>
            <a:ext uri="{FF2B5EF4-FFF2-40B4-BE49-F238E27FC236}">
              <a16:creationId xmlns:a16="http://schemas.microsoft.com/office/drawing/2014/main" id="{8ADB4707-1F4B-4842-B175-D68AE20C02FA}"/>
            </a:ext>
          </a:extLst>
        </xdr:cNvPr>
        <xdr:cNvSpPr/>
      </xdr:nvSpPr>
      <xdr:spPr>
        <a:xfrm>
          <a:off x="2826440" y="574606"/>
          <a:ext cx="1050856" cy="890380"/>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579782</xdr:colOff>
      <xdr:row>8</xdr:row>
      <xdr:rowOff>88003</xdr:rowOff>
    </xdr:from>
    <xdr:to>
      <xdr:col>6</xdr:col>
      <xdr:colOff>212241</xdr:colOff>
      <xdr:row>10</xdr:row>
      <xdr:rowOff>67297</xdr:rowOff>
    </xdr:to>
    <xdr:sp macro="" textlink="">
      <xdr:nvSpPr>
        <xdr:cNvPr id="11" name="Rectangle: Rounded Corners 10">
          <a:extLst>
            <a:ext uri="{FF2B5EF4-FFF2-40B4-BE49-F238E27FC236}">
              <a16:creationId xmlns:a16="http://schemas.microsoft.com/office/drawing/2014/main" id="{06BE675D-3B57-4FFE-A160-2D258B6912B0}"/>
            </a:ext>
          </a:extLst>
        </xdr:cNvPr>
        <xdr:cNvSpPr/>
      </xdr:nvSpPr>
      <xdr:spPr>
        <a:xfrm>
          <a:off x="579782" y="1620286"/>
          <a:ext cx="3297513" cy="362364"/>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564253</xdr:colOff>
      <xdr:row>10</xdr:row>
      <xdr:rowOff>131694</xdr:rowOff>
    </xdr:from>
    <xdr:to>
      <xdr:col>6</xdr:col>
      <xdr:colOff>243302</xdr:colOff>
      <xdr:row>17</xdr:row>
      <xdr:rowOff>160475</xdr:rowOff>
    </xdr:to>
    <xdr:sp macro="" textlink="">
      <xdr:nvSpPr>
        <xdr:cNvPr id="12" name="Rectangle: Rounded Corners 11">
          <a:extLst>
            <a:ext uri="{FF2B5EF4-FFF2-40B4-BE49-F238E27FC236}">
              <a16:creationId xmlns:a16="http://schemas.microsoft.com/office/drawing/2014/main" id="{526D70C5-2E8A-45F4-BB20-2D736F6F2ACB}"/>
            </a:ext>
          </a:extLst>
        </xdr:cNvPr>
        <xdr:cNvSpPr/>
      </xdr:nvSpPr>
      <xdr:spPr>
        <a:xfrm>
          <a:off x="564253" y="2047047"/>
          <a:ext cx="3344103" cy="1369529"/>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320953</xdr:colOff>
      <xdr:row>8</xdr:row>
      <xdr:rowOff>64397</xdr:rowOff>
    </xdr:from>
    <xdr:to>
      <xdr:col>11</xdr:col>
      <xdr:colOff>921441</xdr:colOff>
      <xdr:row>17</xdr:row>
      <xdr:rowOff>160475</xdr:rowOff>
    </xdr:to>
    <xdr:sp macro="" textlink="">
      <xdr:nvSpPr>
        <xdr:cNvPr id="13" name="Rectangle: Rounded Corners 12">
          <a:extLst>
            <a:ext uri="{FF2B5EF4-FFF2-40B4-BE49-F238E27FC236}">
              <a16:creationId xmlns:a16="http://schemas.microsoft.com/office/drawing/2014/main" id="{EF5AF961-6CF6-414C-960E-CC3BDE369F02}"/>
            </a:ext>
          </a:extLst>
        </xdr:cNvPr>
        <xdr:cNvSpPr/>
      </xdr:nvSpPr>
      <xdr:spPr>
        <a:xfrm>
          <a:off x="3986007" y="1596680"/>
          <a:ext cx="3654700" cy="1819896"/>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134593</xdr:colOff>
      <xdr:row>1</xdr:row>
      <xdr:rowOff>1</xdr:rowOff>
    </xdr:from>
    <xdr:to>
      <xdr:col>4</xdr:col>
      <xdr:colOff>310598</xdr:colOff>
      <xdr:row>2</xdr:row>
      <xdr:rowOff>25883</xdr:rowOff>
    </xdr:to>
    <xdr:sp macro="" textlink="">
      <xdr:nvSpPr>
        <xdr:cNvPr id="14" name="TextBox 13">
          <a:extLst>
            <a:ext uri="{FF2B5EF4-FFF2-40B4-BE49-F238E27FC236}">
              <a16:creationId xmlns:a16="http://schemas.microsoft.com/office/drawing/2014/main" id="{3CDB583A-CF9D-366B-7FD4-0A5C224F258A}"/>
            </a:ext>
          </a:extLst>
        </xdr:cNvPr>
        <xdr:cNvSpPr txBox="1"/>
      </xdr:nvSpPr>
      <xdr:spPr>
        <a:xfrm>
          <a:off x="134593" y="191536"/>
          <a:ext cx="2619375" cy="21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t>Hospital Emergency</a:t>
          </a:r>
          <a:r>
            <a:rPr lang="en-US" sz="1100" b="1" baseline="0"/>
            <a:t> Room Dashboard</a:t>
          </a:r>
          <a:endParaRPr lang="en-US" sz="1100" b="1"/>
        </a:p>
      </xdr:txBody>
    </xdr:sp>
    <xdr:clientData/>
  </xdr:twoCellAnchor>
  <xdr:twoCellAnchor editAs="oneCell">
    <xdr:from>
      <xdr:col>0</xdr:col>
      <xdr:colOff>67297</xdr:colOff>
      <xdr:row>1</xdr:row>
      <xdr:rowOff>5177</xdr:rowOff>
    </xdr:from>
    <xdr:to>
      <xdr:col>0</xdr:col>
      <xdr:colOff>331305</xdr:colOff>
      <xdr:row>2</xdr:row>
      <xdr:rowOff>36236</xdr:rowOff>
    </xdr:to>
    <xdr:pic>
      <xdr:nvPicPr>
        <xdr:cNvPr id="16" name="Picture 15">
          <a:extLst>
            <a:ext uri="{FF2B5EF4-FFF2-40B4-BE49-F238E27FC236}">
              <a16:creationId xmlns:a16="http://schemas.microsoft.com/office/drawing/2014/main" id="{E82FE581-9F5E-DFF0-5FE1-13B2C0248A3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164" r="3922" b="15687"/>
        <a:stretch/>
      </xdr:blipFill>
      <xdr:spPr>
        <a:xfrm>
          <a:off x="67297" y="196712"/>
          <a:ext cx="264008" cy="222595"/>
        </a:xfrm>
        <a:prstGeom prst="rect">
          <a:avLst/>
        </a:prstGeom>
      </xdr:spPr>
    </xdr:pic>
    <xdr:clientData/>
  </xdr:twoCellAnchor>
  <xdr:twoCellAnchor editAs="absolute">
    <xdr:from>
      <xdr:col>0</xdr:col>
      <xdr:colOff>255933</xdr:colOff>
      <xdr:row>2</xdr:row>
      <xdr:rowOff>7454</xdr:rowOff>
    </xdr:from>
    <xdr:to>
      <xdr:col>4</xdr:col>
      <xdr:colOff>82826</xdr:colOff>
      <xdr:row>3</xdr:row>
      <xdr:rowOff>33337</xdr:rowOff>
    </xdr:to>
    <xdr:sp macro="" textlink="">
      <xdr:nvSpPr>
        <xdr:cNvPr id="17" name="TextBox 16">
          <a:extLst>
            <a:ext uri="{FF2B5EF4-FFF2-40B4-BE49-F238E27FC236}">
              <a16:creationId xmlns:a16="http://schemas.microsoft.com/office/drawing/2014/main" id="{6ABC1274-23B2-4A75-A487-F8B5DC413AA2}"/>
            </a:ext>
          </a:extLst>
        </xdr:cNvPr>
        <xdr:cNvSpPr txBox="1"/>
      </xdr:nvSpPr>
      <xdr:spPr>
        <a:xfrm>
          <a:off x="255933" y="390525"/>
          <a:ext cx="2270263" cy="21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t>Monthly Report</a:t>
          </a:r>
        </a:p>
      </xdr:txBody>
    </xdr:sp>
    <xdr:clientData/>
  </xdr:twoCellAnchor>
  <xdr:twoCellAnchor>
    <xdr:from>
      <xdr:col>1</xdr:col>
      <xdr:colOff>77651</xdr:colOff>
      <xdr:row>5</xdr:row>
      <xdr:rowOff>67296</xdr:rowOff>
    </xdr:from>
    <xdr:to>
      <xdr:col>2</xdr:col>
      <xdr:colOff>279539</xdr:colOff>
      <xdr:row>6</xdr:row>
      <xdr:rowOff>160476</xdr:rowOff>
    </xdr:to>
    <xdr:sp macro="" textlink="'Pivot Report'!A5">
      <xdr:nvSpPr>
        <xdr:cNvPr id="23" name="TextBox 22">
          <a:extLst>
            <a:ext uri="{FF2B5EF4-FFF2-40B4-BE49-F238E27FC236}">
              <a16:creationId xmlns:a16="http://schemas.microsoft.com/office/drawing/2014/main" id="{8A457BD2-F338-AE83-103E-10111375EFEB}"/>
            </a:ext>
          </a:extLst>
        </xdr:cNvPr>
        <xdr:cNvSpPr txBox="1"/>
      </xdr:nvSpPr>
      <xdr:spPr>
        <a:xfrm>
          <a:off x="688493" y="1024973"/>
          <a:ext cx="812731" cy="28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4715ED1C-3DB0-4BC5-A34E-BA53062450EF}" type="TxLink">
            <a:rPr lang="en-US" sz="1100" b="0" i="0" u="none" strike="noStrike">
              <a:solidFill>
                <a:srgbClr val="000000"/>
              </a:solidFill>
              <a:latin typeface="Aptos Narrow"/>
              <a:ea typeface="+mn-ea"/>
              <a:cs typeface="+mn-cs"/>
            </a:rPr>
            <a:pPr marL="0" indent="0" algn="ctr"/>
            <a:t>480</a:t>
          </a:fld>
          <a:endParaRPr lang="en-US" sz="1100" b="0" i="0" u="none" strike="noStrike">
            <a:solidFill>
              <a:srgbClr val="000000"/>
            </a:solidFill>
            <a:latin typeface="Aptos Narrow"/>
            <a:ea typeface="+mn-ea"/>
            <a:cs typeface="+mn-cs"/>
          </a:endParaRPr>
        </a:p>
      </xdr:txBody>
    </xdr:sp>
    <xdr:clientData/>
  </xdr:twoCellAnchor>
  <xdr:twoCellAnchor editAs="absolute">
    <xdr:from>
      <xdr:col>1</xdr:col>
      <xdr:colOff>43692</xdr:colOff>
      <xdr:row>3</xdr:row>
      <xdr:rowOff>105810</xdr:rowOff>
    </xdr:from>
    <xdr:to>
      <xdr:col>2</xdr:col>
      <xdr:colOff>357188</xdr:colOff>
      <xdr:row>4</xdr:row>
      <xdr:rowOff>131693</xdr:rowOff>
    </xdr:to>
    <xdr:sp macro="" textlink="">
      <xdr:nvSpPr>
        <xdr:cNvPr id="25" name="TextBox 24">
          <a:extLst>
            <a:ext uri="{FF2B5EF4-FFF2-40B4-BE49-F238E27FC236}">
              <a16:creationId xmlns:a16="http://schemas.microsoft.com/office/drawing/2014/main" id="{63B6A6ED-E9EB-4CAC-B41F-A03D08EE180D}"/>
            </a:ext>
          </a:extLst>
        </xdr:cNvPr>
        <xdr:cNvSpPr txBox="1"/>
      </xdr:nvSpPr>
      <xdr:spPr>
        <a:xfrm>
          <a:off x="654534" y="680416"/>
          <a:ext cx="924339" cy="21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t>No. of</a:t>
          </a:r>
          <a:r>
            <a:rPr lang="en-US" sz="900" b="0" baseline="0"/>
            <a:t> Patients</a:t>
          </a:r>
          <a:endParaRPr lang="en-US" sz="900" b="0"/>
        </a:p>
      </xdr:txBody>
    </xdr:sp>
    <xdr:clientData/>
  </xdr:twoCellAnchor>
  <xdr:twoCellAnchor editAs="absolute">
    <xdr:from>
      <xdr:col>2</xdr:col>
      <xdr:colOff>511865</xdr:colOff>
      <xdr:row>3</xdr:row>
      <xdr:rowOff>71851</xdr:rowOff>
    </xdr:from>
    <xdr:to>
      <xdr:col>4</xdr:col>
      <xdr:colOff>214519</xdr:colOff>
      <xdr:row>4</xdr:row>
      <xdr:rowOff>165652</xdr:rowOff>
    </xdr:to>
    <xdr:sp macro="" textlink="">
      <xdr:nvSpPr>
        <xdr:cNvPr id="26" name="TextBox 25">
          <a:extLst>
            <a:ext uri="{FF2B5EF4-FFF2-40B4-BE49-F238E27FC236}">
              <a16:creationId xmlns:a16="http://schemas.microsoft.com/office/drawing/2014/main" id="{9F804E3C-266B-4B80-9599-98CF938DD787}"/>
            </a:ext>
          </a:extLst>
        </xdr:cNvPr>
        <xdr:cNvSpPr txBox="1"/>
      </xdr:nvSpPr>
      <xdr:spPr>
        <a:xfrm>
          <a:off x="1733550" y="646457"/>
          <a:ext cx="924339" cy="285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a:t>Avg. Wait Time(Min)</a:t>
          </a:r>
        </a:p>
      </xdr:txBody>
    </xdr:sp>
    <xdr:clientData/>
  </xdr:twoCellAnchor>
  <xdr:twoCellAnchor editAs="absolute">
    <xdr:from>
      <xdr:col>2</xdr:col>
      <xdr:colOff>408333</xdr:colOff>
      <xdr:row>5</xdr:row>
      <xdr:rowOff>82204</xdr:rowOff>
    </xdr:from>
    <xdr:to>
      <xdr:col>4</xdr:col>
      <xdr:colOff>110987</xdr:colOff>
      <xdr:row>6</xdr:row>
      <xdr:rowOff>108087</xdr:rowOff>
    </xdr:to>
    <xdr:sp macro="" textlink="'Pivot Report'!A9">
      <xdr:nvSpPr>
        <xdr:cNvPr id="27" name="TextBox 26">
          <a:extLst>
            <a:ext uri="{FF2B5EF4-FFF2-40B4-BE49-F238E27FC236}">
              <a16:creationId xmlns:a16="http://schemas.microsoft.com/office/drawing/2014/main" id="{0BCB2990-2CCB-4507-8270-0179755F95E2}"/>
            </a:ext>
          </a:extLst>
        </xdr:cNvPr>
        <xdr:cNvSpPr txBox="1"/>
      </xdr:nvSpPr>
      <xdr:spPr>
        <a:xfrm>
          <a:off x="1630018" y="1039881"/>
          <a:ext cx="924339" cy="21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DE3DF76-F7EB-4FDA-A7F1-40DDC213F5D9}" type="TxLink">
            <a:rPr lang="en-US" sz="1100" b="0" i="0" u="none" strike="noStrike">
              <a:solidFill>
                <a:srgbClr val="000000"/>
              </a:solidFill>
              <a:latin typeface="Aptos Narrow"/>
            </a:rPr>
            <a:t>34.43</a:t>
          </a:fld>
          <a:endParaRPr lang="en-US" sz="900" b="1"/>
        </a:p>
      </xdr:txBody>
    </xdr:sp>
    <xdr:clientData/>
  </xdr:twoCellAnchor>
  <xdr:twoCellAnchor editAs="absolute">
    <xdr:from>
      <xdr:col>4</xdr:col>
      <xdr:colOff>445190</xdr:colOff>
      <xdr:row>3</xdr:row>
      <xdr:rowOff>41412</xdr:rowOff>
    </xdr:from>
    <xdr:to>
      <xdr:col>6</xdr:col>
      <xdr:colOff>147845</xdr:colOff>
      <xdr:row>4</xdr:row>
      <xdr:rowOff>170828</xdr:rowOff>
    </xdr:to>
    <xdr:sp macro="" textlink="">
      <xdr:nvSpPr>
        <xdr:cNvPr id="28" name="TextBox 27">
          <a:extLst>
            <a:ext uri="{FF2B5EF4-FFF2-40B4-BE49-F238E27FC236}">
              <a16:creationId xmlns:a16="http://schemas.microsoft.com/office/drawing/2014/main" id="{4D6E6ACC-3153-4E92-B536-9BB2A460CD3E}"/>
            </a:ext>
          </a:extLst>
        </xdr:cNvPr>
        <xdr:cNvSpPr txBox="1"/>
      </xdr:nvSpPr>
      <xdr:spPr>
        <a:xfrm>
          <a:off x="2888560" y="616018"/>
          <a:ext cx="924339" cy="32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0"/>
            <a:t>Patient Satisfaction Score</a:t>
          </a:r>
        </a:p>
      </xdr:txBody>
    </xdr:sp>
    <xdr:clientData/>
  </xdr:twoCellAnchor>
  <xdr:twoCellAnchor editAs="absolute">
    <xdr:from>
      <xdr:col>4</xdr:col>
      <xdr:colOff>362363</xdr:colOff>
      <xdr:row>5</xdr:row>
      <xdr:rowOff>46589</xdr:rowOff>
    </xdr:from>
    <xdr:to>
      <xdr:col>6</xdr:col>
      <xdr:colOff>65018</xdr:colOff>
      <xdr:row>6</xdr:row>
      <xdr:rowOff>72472</xdr:rowOff>
    </xdr:to>
    <xdr:sp macro="" textlink="'Pivot Report'!A12">
      <xdr:nvSpPr>
        <xdr:cNvPr id="29" name="TextBox 28">
          <a:extLst>
            <a:ext uri="{FF2B5EF4-FFF2-40B4-BE49-F238E27FC236}">
              <a16:creationId xmlns:a16="http://schemas.microsoft.com/office/drawing/2014/main" id="{57DA3B29-8EDB-46CC-B0D0-A060A9E78181}"/>
            </a:ext>
          </a:extLst>
        </xdr:cNvPr>
        <xdr:cNvSpPr txBox="1"/>
      </xdr:nvSpPr>
      <xdr:spPr>
        <a:xfrm>
          <a:off x="2805733" y="1004266"/>
          <a:ext cx="924339" cy="21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34E9218-5A16-495C-90CF-879C0E47D2D8}" type="TxLink">
            <a:rPr lang="en-US" sz="1100" b="0" i="0" u="none" strike="noStrike">
              <a:solidFill>
                <a:srgbClr val="000000"/>
              </a:solidFill>
              <a:latin typeface="Aptos Narrow"/>
            </a:rPr>
            <a:t>5.16</a:t>
          </a:fld>
          <a:endParaRPr lang="en-US" sz="900" b="1"/>
        </a:p>
      </xdr:txBody>
    </xdr:sp>
    <xdr:clientData/>
  </xdr:twoCellAnchor>
  <xdr:twoCellAnchor editAs="oneCell">
    <xdr:from>
      <xdr:col>1</xdr:col>
      <xdr:colOff>36238</xdr:colOff>
      <xdr:row>4</xdr:row>
      <xdr:rowOff>189672</xdr:rowOff>
    </xdr:from>
    <xdr:to>
      <xdr:col>1</xdr:col>
      <xdr:colOff>279539</xdr:colOff>
      <xdr:row>6</xdr:row>
      <xdr:rowOff>49902</xdr:rowOff>
    </xdr:to>
    <xdr:pic>
      <xdr:nvPicPr>
        <xdr:cNvPr id="31" name="Graphic 30" descr="Man with solid fill">
          <a:extLst>
            <a:ext uri="{FF2B5EF4-FFF2-40B4-BE49-F238E27FC236}">
              <a16:creationId xmlns:a16="http://schemas.microsoft.com/office/drawing/2014/main" id="{A814526D-AE4B-0A9D-FD16-CFB43944CE4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47080" y="955813"/>
          <a:ext cx="243301" cy="243301"/>
        </a:xfrm>
        <a:prstGeom prst="rect">
          <a:avLst/>
        </a:prstGeom>
      </xdr:spPr>
    </xdr:pic>
    <xdr:clientData/>
  </xdr:twoCellAnchor>
  <xdr:twoCellAnchor editAs="oneCell">
    <xdr:from>
      <xdr:col>3</xdr:col>
      <xdr:colOff>600490</xdr:colOff>
      <xdr:row>5</xdr:row>
      <xdr:rowOff>88004</xdr:rowOff>
    </xdr:from>
    <xdr:to>
      <xdr:col>4</xdr:col>
      <xdr:colOff>165652</xdr:colOff>
      <xdr:row>6</xdr:row>
      <xdr:rowOff>56943</xdr:rowOff>
    </xdr:to>
    <xdr:pic>
      <xdr:nvPicPr>
        <xdr:cNvPr id="33" name="Graphic 32" descr="Hourglass Finished with solid fill">
          <a:extLst>
            <a:ext uri="{FF2B5EF4-FFF2-40B4-BE49-F238E27FC236}">
              <a16:creationId xmlns:a16="http://schemas.microsoft.com/office/drawing/2014/main" id="{F4CCC33B-4BAB-E744-70F5-59956014E6B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33017" y="1045681"/>
          <a:ext cx="176005" cy="160474"/>
        </a:xfrm>
        <a:prstGeom prst="rect">
          <a:avLst/>
        </a:prstGeom>
      </xdr:spPr>
    </xdr:pic>
    <xdr:clientData/>
  </xdr:twoCellAnchor>
  <xdr:twoCellAnchor editAs="oneCell">
    <xdr:from>
      <xdr:col>5</xdr:col>
      <xdr:colOff>414126</xdr:colOff>
      <xdr:row>5</xdr:row>
      <xdr:rowOff>41411</xdr:rowOff>
    </xdr:from>
    <xdr:to>
      <xdr:col>6</xdr:col>
      <xdr:colOff>98351</xdr:colOff>
      <xdr:row>6</xdr:row>
      <xdr:rowOff>15527</xdr:rowOff>
    </xdr:to>
    <xdr:pic>
      <xdr:nvPicPr>
        <xdr:cNvPr id="35" name="Graphic 34" descr="Customer review with solid fill">
          <a:extLst>
            <a:ext uri="{FF2B5EF4-FFF2-40B4-BE49-F238E27FC236}">
              <a16:creationId xmlns:a16="http://schemas.microsoft.com/office/drawing/2014/main" id="{7DB6315A-0B10-4E6C-4CD1-0224224A953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68338" y="999088"/>
          <a:ext cx="295067" cy="165651"/>
        </a:xfrm>
        <a:prstGeom prst="rect">
          <a:avLst/>
        </a:prstGeom>
      </xdr:spPr>
    </xdr:pic>
    <xdr:clientData/>
  </xdr:twoCellAnchor>
  <xdr:twoCellAnchor editAs="oneCell">
    <xdr:from>
      <xdr:col>0</xdr:col>
      <xdr:colOff>41416</xdr:colOff>
      <xdr:row>3</xdr:row>
      <xdr:rowOff>67295</xdr:rowOff>
    </xdr:from>
    <xdr:to>
      <xdr:col>0</xdr:col>
      <xdr:colOff>508552</xdr:colOff>
      <xdr:row>17</xdr:row>
      <xdr:rowOff>102340</xdr:rowOff>
    </xdr:to>
    <mc:AlternateContent xmlns:mc="http://schemas.openxmlformats.org/markup-compatibility/2006">
      <mc:Choice xmlns:a14="http://schemas.microsoft.com/office/drawing/2010/main" Requires="a14">
        <xdr:graphicFrame macro="">
          <xdr:nvGraphicFramePr>
            <xdr:cNvPr id="36" name="Date (Month)">
              <a:extLst>
                <a:ext uri="{FF2B5EF4-FFF2-40B4-BE49-F238E27FC236}">
                  <a16:creationId xmlns:a16="http://schemas.microsoft.com/office/drawing/2014/main" id="{367E4971-CEB1-4052-B25C-AFF8FAEAD17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1416" y="640700"/>
              <a:ext cx="465231" cy="2702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46590</xdr:colOff>
      <xdr:row>4</xdr:row>
      <xdr:rowOff>124239</xdr:rowOff>
    </xdr:from>
    <xdr:to>
      <xdr:col>2</xdr:col>
      <xdr:colOff>383071</xdr:colOff>
      <xdr:row>7</xdr:row>
      <xdr:rowOff>139769</xdr:rowOff>
    </xdr:to>
    <xdr:graphicFrame macro="">
      <xdr:nvGraphicFramePr>
        <xdr:cNvPr id="39" name="Chart 38">
          <a:hlinkClick xmlns:r="http://schemas.openxmlformats.org/officeDocument/2006/relationships" r:id="rId8"/>
          <a:extLst>
            <a:ext uri="{FF2B5EF4-FFF2-40B4-BE49-F238E27FC236}">
              <a16:creationId xmlns:a16="http://schemas.microsoft.com/office/drawing/2014/main" id="{875ADAC3-A7F3-415D-9CE3-1551FC54A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486604</xdr:colOff>
      <xdr:row>5</xdr:row>
      <xdr:rowOff>181182</xdr:rowOff>
    </xdr:from>
    <xdr:to>
      <xdr:col>4</xdr:col>
      <xdr:colOff>289892</xdr:colOff>
      <xdr:row>7</xdr:row>
      <xdr:rowOff>139769</xdr:rowOff>
    </xdr:to>
    <xdr:graphicFrame macro="">
      <xdr:nvGraphicFramePr>
        <xdr:cNvPr id="40" name="Chart 39">
          <a:hlinkClick xmlns:r="http://schemas.openxmlformats.org/officeDocument/2006/relationships" r:id="rId10"/>
          <a:extLst>
            <a:ext uri="{FF2B5EF4-FFF2-40B4-BE49-F238E27FC236}">
              <a16:creationId xmlns:a16="http://schemas.microsoft.com/office/drawing/2014/main" id="{9EE8942C-EB35-4E3B-9E1E-B70ED3179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367542</xdr:colOff>
      <xdr:row>6</xdr:row>
      <xdr:rowOff>0</xdr:rowOff>
    </xdr:from>
    <xdr:to>
      <xdr:col>6</xdr:col>
      <xdr:colOff>196713</xdr:colOff>
      <xdr:row>7</xdr:row>
      <xdr:rowOff>119062</xdr:rowOff>
    </xdr:to>
    <xdr:graphicFrame macro="">
      <xdr:nvGraphicFramePr>
        <xdr:cNvPr id="41" name="Chart 40">
          <a:hlinkClick xmlns:r="http://schemas.openxmlformats.org/officeDocument/2006/relationships" r:id="rId12"/>
          <a:extLst>
            <a:ext uri="{FF2B5EF4-FFF2-40B4-BE49-F238E27FC236}">
              <a16:creationId xmlns:a16="http://schemas.microsoft.com/office/drawing/2014/main" id="{1FB7F30F-ABE7-4FF7-BE7A-99363F697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20708</xdr:colOff>
          <xdr:row>8</xdr:row>
          <xdr:rowOff>113886</xdr:rowOff>
        </xdr:from>
        <xdr:to>
          <xdr:col>6</xdr:col>
          <xdr:colOff>155300</xdr:colOff>
          <xdr:row>10</xdr:row>
          <xdr:rowOff>77649</xdr:rowOff>
        </xdr:to>
        <xdr:pic>
          <xdr:nvPicPr>
            <xdr:cNvPr id="47" name="Picture 46">
              <a:extLst>
                <a:ext uri="{FF2B5EF4-FFF2-40B4-BE49-F238E27FC236}">
                  <a16:creationId xmlns:a16="http://schemas.microsoft.com/office/drawing/2014/main" id="{E804EDF7-9AF4-6C24-F09D-D63AB2862E1C}"/>
                </a:ext>
              </a:extLst>
            </xdr:cNvPr>
            <xdr:cNvPicPr>
              <a:picLocks noChangeAspect="1" noChangeArrowheads="1"/>
              <a:extLst>
                <a:ext uri="{84589F7E-364E-4C9E-8A38-B11213B215E9}">
                  <a14:cameraTool cellRange="'Pivot Report'!$A$49:$E$51" spid="_x0000_s2202"/>
                </a:ext>
              </a:extLst>
            </xdr:cNvPicPr>
          </xdr:nvPicPr>
          <xdr:blipFill>
            <a:blip xmlns:r="http://schemas.openxmlformats.org/officeDocument/2006/relationships" r:embed="rId14"/>
            <a:srcRect/>
            <a:stretch>
              <a:fillRect/>
            </a:stretch>
          </xdr:blipFill>
          <xdr:spPr bwMode="auto">
            <a:xfrm>
              <a:off x="631550" y="1646169"/>
              <a:ext cx="3188804" cy="34683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564252</xdr:colOff>
      <xdr:row>10</xdr:row>
      <xdr:rowOff>131694</xdr:rowOff>
    </xdr:from>
    <xdr:to>
      <xdr:col>6</xdr:col>
      <xdr:colOff>46589</xdr:colOff>
      <xdr:row>17</xdr:row>
      <xdr:rowOff>93179</xdr:rowOff>
    </xdr:to>
    <xdr:graphicFrame macro="">
      <xdr:nvGraphicFramePr>
        <xdr:cNvPr id="49" name="Chart 48">
          <a:extLst>
            <a:ext uri="{FF2B5EF4-FFF2-40B4-BE49-F238E27FC236}">
              <a16:creationId xmlns:a16="http://schemas.microsoft.com/office/drawing/2014/main" id="{72CA9C51-CC21-4FC9-9D56-CD0532B51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411230</xdr:colOff>
      <xdr:row>0</xdr:row>
      <xdr:rowOff>147223</xdr:rowOff>
    </xdr:from>
    <xdr:to>
      <xdr:col>9</xdr:col>
      <xdr:colOff>181181</xdr:colOff>
      <xdr:row>6</xdr:row>
      <xdr:rowOff>191535</xdr:rowOff>
    </xdr:to>
    <xdr:graphicFrame macro="">
      <xdr:nvGraphicFramePr>
        <xdr:cNvPr id="50" name="Chart 49">
          <a:extLst>
            <a:ext uri="{FF2B5EF4-FFF2-40B4-BE49-F238E27FC236}">
              <a16:creationId xmlns:a16="http://schemas.microsoft.com/office/drawing/2014/main" id="{5FF28D82-6D6C-4DD6-88DA-D950A8147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499233</xdr:colOff>
      <xdr:row>6</xdr:row>
      <xdr:rowOff>167930</xdr:rowOff>
    </xdr:from>
    <xdr:to>
      <xdr:col>9</xdr:col>
      <xdr:colOff>23950</xdr:colOff>
      <xdr:row>7</xdr:row>
      <xdr:rowOff>176459</xdr:rowOff>
    </xdr:to>
    <xdr:sp macro="" textlink="">
      <xdr:nvSpPr>
        <xdr:cNvPr id="51" name="TextBox 24">
          <a:extLst>
            <a:ext uri="{FF2B5EF4-FFF2-40B4-BE49-F238E27FC236}">
              <a16:creationId xmlns:a16="http://schemas.microsoft.com/office/drawing/2014/main" id="{2A6B525A-52A0-A101-A02F-2DAFFD6303AF}"/>
            </a:ext>
          </a:extLst>
        </xdr:cNvPr>
        <xdr:cNvSpPr txBox="1"/>
      </xdr:nvSpPr>
      <xdr:spPr>
        <a:xfrm>
          <a:off x="4164287" y="1317142"/>
          <a:ext cx="1357245" cy="200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0"/>
            <a:t>Patient attended with in time</a:t>
          </a:r>
        </a:p>
      </xdr:txBody>
    </xdr:sp>
    <xdr:clientData/>
  </xdr:twoCellAnchor>
  <xdr:twoCellAnchor>
    <xdr:from>
      <xdr:col>9</xdr:col>
      <xdr:colOff>341658</xdr:colOff>
      <xdr:row>0</xdr:row>
      <xdr:rowOff>93179</xdr:rowOff>
    </xdr:from>
    <xdr:to>
      <xdr:col>11</xdr:col>
      <xdr:colOff>963062</xdr:colOff>
      <xdr:row>6</xdr:row>
      <xdr:rowOff>25882</xdr:rowOff>
    </xdr:to>
    <xdr:graphicFrame macro="">
      <xdr:nvGraphicFramePr>
        <xdr:cNvPr id="52" name="Chart 51">
          <a:extLst>
            <a:ext uri="{FF2B5EF4-FFF2-40B4-BE49-F238E27FC236}">
              <a16:creationId xmlns:a16="http://schemas.microsoft.com/office/drawing/2014/main" id="{7C393903-02BA-4B7A-BAD9-92E87CBC4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424486</xdr:colOff>
      <xdr:row>8</xdr:row>
      <xdr:rowOff>90281</xdr:rowOff>
    </xdr:from>
    <xdr:to>
      <xdr:col>11</xdr:col>
      <xdr:colOff>864498</xdr:colOff>
      <xdr:row>17</xdr:row>
      <xdr:rowOff>20707</xdr:rowOff>
    </xdr:to>
    <xdr:graphicFrame macro="">
      <xdr:nvGraphicFramePr>
        <xdr:cNvPr id="53" name="Chart 52">
          <a:extLst>
            <a:ext uri="{FF2B5EF4-FFF2-40B4-BE49-F238E27FC236}">
              <a16:creationId xmlns:a16="http://schemas.microsoft.com/office/drawing/2014/main" id="{C39EF216-A866-4448-98EA-5583E3B87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476251</xdr:colOff>
      <xdr:row>6</xdr:row>
      <xdr:rowOff>150122</xdr:rowOff>
    </xdr:from>
    <xdr:to>
      <xdr:col>11</xdr:col>
      <xdr:colOff>611812</xdr:colOff>
      <xdr:row>7</xdr:row>
      <xdr:rowOff>158651</xdr:rowOff>
    </xdr:to>
    <xdr:sp macro="" textlink="">
      <xdr:nvSpPr>
        <xdr:cNvPr id="54" name="TextBox 24">
          <a:extLst>
            <a:ext uri="{FF2B5EF4-FFF2-40B4-BE49-F238E27FC236}">
              <a16:creationId xmlns:a16="http://schemas.microsoft.com/office/drawing/2014/main" id="{C35367E4-562D-4DBF-A886-4CCD249CC947}"/>
            </a:ext>
          </a:extLst>
        </xdr:cNvPr>
        <xdr:cNvSpPr txBox="1"/>
      </xdr:nvSpPr>
      <xdr:spPr>
        <a:xfrm>
          <a:off x="5973833" y="1299334"/>
          <a:ext cx="1357245" cy="200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0"/>
            <a:t>No. of Patient by Gender</a:t>
          </a:r>
        </a:p>
      </xdr:txBody>
    </xdr:sp>
    <xdr:clientData/>
  </xdr:twoCellAnchor>
  <xdr:twoCellAnchor>
    <xdr:from>
      <xdr:col>8</xdr:col>
      <xdr:colOff>227773</xdr:colOff>
      <xdr:row>16</xdr:row>
      <xdr:rowOff>79927</xdr:rowOff>
    </xdr:from>
    <xdr:to>
      <xdr:col>11</xdr:col>
      <xdr:colOff>227772</xdr:colOff>
      <xdr:row>17</xdr:row>
      <xdr:rowOff>88455</xdr:rowOff>
    </xdr:to>
    <xdr:sp macro="" textlink="">
      <xdr:nvSpPr>
        <xdr:cNvPr id="55" name="TextBox 24">
          <a:extLst>
            <a:ext uri="{FF2B5EF4-FFF2-40B4-BE49-F238E27FC236}">
              <a16:creationId xmlns:a16="http://schemas.microsoft.com/office/drawing/2014/main" id="{E426AC7F-06C0-44C5-B8FC-C4D2FE22A467}"/>
            </a:ext>
          </a:extLst>
        </xdr:cNvPr>
        <xdr:cNvSpPr txBox="1"/>
      </xdr:nvSpPr>
      <xdr:spPr>
        <a:xfrm>
          <a:off x="5114512" y="3144492"/>
          <a:ext cx="1832526" cy="200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0"/>
            <a:t>No. of patient Department Referral</a:t>
          </a:r>
        </a:p>
      </xdr:txBody>
    </xdr:sp>
    <xdr:clientData/>
  </xdr:twoCellAnchor>
  <xdr:twoCellAnchor editAs="absolute">
    <xdr:from>
      <xdr:col>4</xdr:col>
      <xdr:colOff>445191</xdr:colOff>
      <xdr:row>0</xdr:row>
      <xdr:rowOff>144946</xdr:rowOff>
    </xdr:from>
    <xdr:to>
      <xdr:col>6</xdr:col>
      <xdr:colOff>108710</xdr:colOff>
      <xdr:row>2</xdr:row>
      <xdr:rowOff>108709</xdr:rowOff>
    </xdr:to>
    <mc:AlternateContent xmlns:mc="http://schemas.openxmlformats.org/markup-compatibility/2006">
      <mc:Choice xmlns:a14="http://schemas.microsoft.com/office/drawing/2010/main" Requires="a14">
        <xdr:graphicFrame macro="">
          <xdr:nvGraphicFramePr>
            <xdr:cNvPr id="56" name="Date (Year)">
              <a:extLst>
                <a:ext uri="{FF2B5EF4-FFF2-40B4-BE49-F238E27FC236}">
                  <a16:creationId xmlns:a16="http://schemas.microsoft.com/office/drawing/2014/main" id="{CC442347-33C5-4038-BA2E-CE257DC7026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882183" y="146851"/>
              <a:ext cx="881062" cy="344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0.30726</cdr:x>
      <cdr:y>0.83304</cdr:y>
    </cdr:from>
    <cdr:to>
      <cdr:x>0.73849</cdr:x>
      <cdr:y>1</cdr:y>
    </cdr:to>
    <cdr:sp macro="" textlink="">
      <cdr:nvSpPr>
        <cdr:cNvPr id="2" name="TextBox 24">
          <a:extLst xmlns:a="http://schemas.openxmlformats.org/drawingml/2006/main">
            <a:ext uri="{FF2B5EF4-FFF2-40B4-BE49-F238E27FC236}">
              <a16:creationId xmlns:a16="http://schemas.microsoft.com/office/drawing/2014/main" id="{63B6A6ED-E9EB-4CAC-B41F-A03D08EE180D}"/>
            </a:ext>
          </a:extLst>
        </cdr:cNvPr>
        <cdr:cNvSpPr txBox="1"/>
      </cdr:nvSpPr>
      <cdr:spPr>
        <a:xfrm xmlns:a="http://schemas.openxmlformats.org/drawingml/2006/main">
          <a:off x="967063" y="1084815"/>
          <a:ext cx="1357245" cy="21741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0"/>
            <a:t>No. of</a:t>
          </a:r>
          <a:r>
            <a:rPr lang="en-US" sz="900" b="0" baseline="0"/>
            <a:t> Patients by Age Group</a:t>
          </a:r>
          <a:endParaRPr lang="en-US" sz="900" b="0"/>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190499</xdr:colOff>
      <xdr:row>6</xdr:row>
      <xdr:rowOff>142875</xdr:rowOff>
    </xdr:from>
    <xdr:to>
      <xdr:col>12</xdr:col>
      <xdr:colOff>257174</xdr:colOff>
      <xdr:row>28</xdr:row>
      <xdr:rowOff>28575</xdr:rowOff>
    </xdr:to>
    <xdr:graphicFrame macro="">
      <xdr:nvGraphicFramePr>
        <xdr:cNvPr id="2" name="Chart 1">
          <a:extLst>
            <a:ext uri="{FF2B5EF4-FFF2-40B4-BE49-F238E27FC236}">
              <a16:creationId xmlns:a16="http://schemas.microsoft.com/office/drawing/2014/main" id="{C79D646C-839E-430A-A316-5A5F599D2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0.00824</cdr:x>
      <cdr:y>0.01246</cdr:y>
    </cdr:from>
    <cdr:to>
      <cdr:x>0.07779</cdr:x>
      <cdr:y>0.10358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1D7575A-3AF7-4F5D-9434-ED4DD1B3FA1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28625" cy="371476"/>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466725</xdr:colOff>
      <xdr:row>1</xdr:row>
      <xdr:rowOff>180975</xdr:rowOff>
    </xdr:from>
    <xdr:to>
      <xdr:col>12</xdr:col>
      <xdr:colOff>285750</xdr:colOff>
      <xdr:row>25</xdr:row>
      <xdr:rowOff>180974</xdr:rowOff>
    </xdr:to>
    <xdr:graphicFrame macro="">
      <xdr:nvGraphicFramePr>
        <xdr:cNvPr id="2" name="Chart 1">
          <a:extLst>
            <a:ext uri="{FF2B5EF4-FFF2-40B4-BE49-F238E27FC236}">
              <a16:creationId xmlns:a16="http://schemas.microsoft.com/office/drawing/2014/main" id="{ACCFD995-9E3E-4066-B43C-67BF58667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0.08322</cdr:x>
      <cdr:y>0.04861</cdr:y>
    </cdr:from>
    <cdr:to>
      <cdr:x>0.1433</cdr:x>
      <cdr:y>0.12986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1D7575A-3AF7-4F5D-9434-ED4DD1B3FA1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93725" y="222250"/>
          <a:ext cx="428625" cy="371476"/>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104775</xdr:colOff>
      <xdr:row>1</xdr:row>
      <xdr:rowOff>133349</xdr:rowOff>
    </xdr:from>
    <xdr:to>
      <xdr:col>11</xdr:col>
      <xdr:colOff>238124</xdr:colOff>
      <xdr:row>26</xdr:row>
      <xdr:rowOff>57150</xdr:rowOff>
    </xdr:to>
    <xdr:graphicFrame macro="">
      <xdr:nvGraphicFramePr>
        <xdr:cNvPr id="2" name="Chart 1">
          <a:extLst>
            <a:ext uri="{FF2B5EF4-FFF2-40B4-BE49-F238E27FC236}">
              <a16:creationId xmlns:a16="http://schemas.microsoft.com/office/drawing/2014/main" id="{712D42DE-F357-4C54-9C61-774B90755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0.01393</cdr:x>
      <cdr:y>0.02642</cdr:y>
    </cdr:from>
    <cdr:to>
      <cdr:x>0.0766</cdr:x>
      <cdr:y>0.10569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4482590-D891-46F4-A1EB-2680ADF08C4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5250" y="123825"/>
          <a:ext cx="428625" cy="37147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87037038" createdVersion="5" refreshedVersion="8" minRefreshableVersion="3" recordCount="0" supportSubquery="1" supportAdvancedDrill="1" xr:uid="{D2EA2906-8C5F-47D1-831C-5F5AAC15FD2E}">
  <cacheSource type="external" connectionId="3"/>
  <cacheFields count="4">
    <cacheField name="[Calendar_table].[Date (Month)].[Date (Month)]" caption="Date (Month)" numFmtId="0" hierarchy="1" level="1">
      <sharedItems count="1">
        <s v="Nov"/>
      </sharedItems>
    </cacheField>
    <cacheField name="[Calendar_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87615739" createdVersion="5" refreshedVersion="8" minRefreshableVersion="3" recordCount="0" supportSubquery="1" supportAdvancedDrill="1" xr:uid="{2B9F503D-7685-4439-97A5-D3EFCDA49D8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87962962" createdVersion="5" refreshedVersion="8" minRefreshableVersion="3" recordCount="0" supportSubquery="1" supportAdvancedDrill="1" xr:uid="{ACAB1AC4-2104-439E-A3CE-10C62CE721E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88657409" createdVersion="5" refreshedVersion="8" minRefreshableVersion="3" recordCount="0" supportSubquery="1" supportAdvancedDrill="1" xr:uid="{E6E458F9-7698-41AE-AB26-7BD518E93F2E}">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89004632" createdVersion="5" refreshedVersion="8" minRefreshableVersion="3" recordCount="0" supportSubquery="1" supportAdvancedDrill="1" xr:uid="{3B978C7E-1624-411E-8F5F-21CEA3E2EB55}">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89236109" createdVersion="5" refreshedVersion="8" minRefreshableVersion="3" recordCount="0" supportSubquery="1" supportAdvancedDrill="1" xr:uid="{603EF803-1E92-4E11-9FAB-26238D9E30FD}">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89930556" createdVersion="5" refreshedVersion="8" minRefreshableVersion="3" recordCount="0" supportSubquery="1" supportAdvancedDrill="1" xr:uid="{98C136A7-E8DC-4EF5-9C0D-724BA17D9CAF}">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90509256" createdVersion="5" refreshedVersion="8" minRefreshableVersion="3" recordCount="0" supportSubquery="1" supportAdvancedDrill="1" xr:uid="{61FB110E-7276-4F4A-B7EF-DE63187EB65C}">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91319441" createdVersion="5" refreshedVersion="8" minRefreshableVersion="3" recordCount="0" supportSubquery="1" supportAdvancedDrill="1" xr:uid="{80C7E7FC-7D22-46FF-B01D-1B9E9E19AE40}">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92245372" createdVersion="5" refreshedVersion="8" minRefreshableVersion="3" recordCount="0" supportSubquery="1" supportAdvancedDrill="1" xr:uid="{226BC249-A188-45C7-AE7D-0F50CFF2133D}">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92939812" createdVersion="5" refreshedVersion="8" minRefreshableVersion="3" recordCount="0" supportSubquery="1" supportAdvancedDrill="1" xr:uid="{775C205E-5F75-429F-8B71-385659B9BA6C}">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102.72519351852" createdVersion="5" refreshedVersion="8" minRefreshableVersion="3" recordCount="0" supportSubquery="1" supportAdvancedDrill="1" xr:uid="{04D2A577-0105-485A-9FDD-1C8BBA76584A}">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u Singh" refreshedDate="46093.85771261574" createdVersion="3" refreshedVersion="8" minRefreshableVersion="3" recordCount="0" supportSubquery="1" supportAdvancedDrill="1" xr:uid="{C277D2BF-7FC6-4138-BF3A-E16F3ABFC8BF}">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42377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D91D3-6C66-4E12-A30B-68E5CC35E057}" name="PivotTable12" cacheId="1126" applyNumberFormats="0" applyBorderFormats="0" applyFontFormats="0" applyPatternFormats="0" applyAlignmentFormats="0" applyWidthHeightFormats="1" dataCaption="Values" tag="16df2299-4e99-4b39-952b-2a1ef109ff5c" updatedVersion="8" minRefreshableVersion="3" itemPrintTitles="1" createdVersion="5" indent="0" outline="1" outlineData="1" multipleFieldFilters="0" chartFormat="19">
  <location ref="A91:A9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4">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F19476-B75B-424C-8985-F6FE0465081F}" name="PivotTable11" cacheId="1135" applyNumberFormats="0" applyBorderFormats="0" applyFontFormats="0" applyPatternFormats="0" applyAlignmentFormats="0" applyWidthHeightFormats="1" dataCaption="Values" tag="2c8db48b-e7b6-4c30-ad79-92c1aa84a09b" updatedVersion="8" minRefreshableVersion="3" itemPrintTitles="1" createdVersion="5" indent="0" outline="1" outlineData="1" multipleFieldFilters="0" chartFormat="19">
  <location ref="A79:B8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75">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A5070B-58BB-4521-9364-F1A894E246D4}" name="PivotTable10" cacheId="1132" applyNumberFormats="0" applyBorderFormats="0" applyFontFormats="0" applyPatternFormats="0" applyAlignmentFormats="0" applyWidthHeightFormats="1" dataCaption="Values" tag="8157dfcd-c0b4-4e92-96eb-b1264a524d42" updatedVersion="8" minRefreshableVersion="3" itemPrintTitles="1" createdVersion="5" indent="0" outline="1" outlineData="1" multipleFieldFilters="0" chartFormat="18">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76">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6D4A12-8B1B-44A0-8841-C0EE049EF4B0}" name="PivotTable9" cacheId="1159" applyNumberFormats="0" applyBorderFormats="0" applyFontFormats="0" applyPatternFormats="0" applyAlignmentFormats="0" applyWidthHeightFormats="1" dataCaption="Values" tag="bb5a47f0-537a-4ed4-8eed-adac917ec601" updatedVersion="8" minRefreshableVersion="3" itemPrintTitles="1" createdVersion="5" indent="0" outline="1" outlineData="1" multipleFieldFilters="0" chartFormat="13">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1">
    <format dxfId="77">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076386-F8F0-4DB7-B63E-B8E627669ABA}" name="PivotTable8" cacheId="1156" applyNumberFormats="0" applyBorderFormats="0" applyFontFormats="0" applyPatternFormats="0" applyAlignmentFormats="0" applyWidthHeightFormats="1" dataCaption="Values" tag="0fb296a6-6aaf-445d-b517-301d84cb3dbb" updatedVersion="8" minRefreshableVersion="3" itemPrintTitles="1" createdVersion="5" indent="0" outline="1" outlineData="1" multipleFieldFilters="0" chartFormat="9">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79">
      <pivotArea outline="0" collapsedLevelsAreSubtotals="1" fieldPosition="0"/>
    </format>
    <format dxfId="78">
      <pivotArea collapsedLevelsAreSubtotals="1" fieldPosition="0">
        <references count="1">
          <reference field="1" count="0"/>
        </references>
      </pivotArea>
    </format>
  </formats>
  <chartFormats count="1">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5979F-1A8F-4227-9386-1AC05C4EF484}" name="PivotTable7" cacheId="1153" applyNumberFormats="0" applyBorderFormats="0" applyFontFormats="0" applyPatternFormats="0" applyAlignmentFormats="0" applyWidthHeightFormats="1" dataCaption="Values" tag="2038970c-b6dc-4df2-a642-c178693c86dc" updatedVersion="8" minRefreshableVersion="3" itemPrintTitles="1" createdVersion="5" indent="0" outline="1" outlineData="1" multipleFieldFilters="0" chartFormat="2">
  <location ref="A42:C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81">
      <pivotArea outline="0" collapsedLevelsAreSubtotals="1" fieldPosition="0"/>
    </format>
    <format dxfId="8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D317A0-73A8-4457-A3B7-E6481F52CBE7}" name="PivotTable6" cacheId="1150" applyNumberFormats="0" applyBorderFormats="0" applyFontFormats="0" applyPatternFormats="0" applyAlignmentFormats="0" applyWidthHeightFormats="1" dataCaption="Values" tag="659e6301-c5c1-4c14-ba63-bbef41254e1a" updatedVersion="8" minRefreshableVersion="3" subtotalHiddenItems="1" itemPrintTitles="1" createdVersion="5" indent="0" outline="1" outlineData="1" multipleFieldFilters="0" chartFormat="23">
  <location ref="D4:E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82">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964345-DFAC-4D48-B08D-79E029BBB69C}" name="PivotTable5" cacheId="1147" applyNumberFormats="0" applyBorderFormats="0" applyFontFormats="0" applyPatternFormats="0" applyAlignmentFormats="0" applyWidthHeightFormats="1" dataCaption="Values" tag="6b28ab0c-88e9-4195-87a0-681f401b73c5" updatedVersion="8" minRefreshableVersion="3" subtotalHiddenItems="1" itemPrintTitles="1" createdVersion="5" indent="0" outline="1" outlineData="1" multipleFieldFilters="0" chartFormat="19">
  <location ref="N4:O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83">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2C9BC1-B676-4908-866C-D32DFD67C560}" name="PivotTable4" cacheId="1144" applyNumberFormats="0" applyBorderFormats="0" applyFontFormats="0" applyPatternFormats="0" applyAlignmentFormats="0" applyWidthHeightFormats="1" dataCaption="Values" tag="4cf12b37-3fd1-461f-8fe2-224abc116127" updatedVersion="8" minRefreshableVersion="3" subtotalHiddenItems="1" itemPrintTitles="1" createdVersion="5" indent="0" outline="1" outlineData="1" multipleFieldFilters="0" chartFormat="13">
  <location ref="H4:I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8"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4F9E48-9A8B-4C1A-9449-94F24E603B85}" name="PivotTable3" cacheId="1141" applyNumberFormats="0" applyBorderFormats="0" applyFontFormats="0" applyPatternFormats="0" applyAlignmentFormats="0" applyWidthHeightFormats="1" dataCaption="Values" tag="cc600b97-f518-4707-8f93-51f3acb37fc8"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4">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DA5026-779D-4335-BF74-D30791C8315D}" name="PivotTable2" cacheId="1138" applyNumberFormats="0" applyBorderFormats="0" applyFontFormats="0" applyPatternFormats="0" applyAlignmentFormats="0" applyWidthHeightFormats="1" dataCaption="Values" tag="0497099d-f96b-4189-b72b-cd5458490da2"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5">
      <pivotArea outline="0" collapsedLevelsAreSubtotals="1" fieldPosition="0"/>
    </format>
  </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A3111B-7A5E-4117-8360-193A1798CA78}" name="PivotTable1" cacheId="1129" applyNumberFormats="0" applyBorderFormats="0" applyFontFormats="0" applyPatternFormats="0" applyAlignmentFormats="0" applyWidthHeightFormats="1" dataCaption="Values" tag="50e50dc2-c2a3-4877-be6b-eeff442435d1"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49F30EE-1D63-45CA-8F89-9429BEE86CC8}"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54237726">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7768D6B-C60A-491D-A53B-BFB642C534BF}"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423772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CD53275-1A25-4290-93A1-5E0010F255F5}" cache="Slicer_Date__Month" caption="Date (Month)" showCaption="0" level="1" style="My STyle" rowHeight="182880"/>
  <slicer name="Date (Year)" xr10:uid="{CED3080E-2ACA-48A7-A6D9-3A251ED3C46F}" cache="Slicer_Date__Year" caption="Date (Year)" columnCount="2" showCaption="0" level="1" style="My 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B44D-2CD3-4144-BA19-80612E0DC52C}">
  <dimension ref="A3:O93"/>
  <sheetViews>
    <sheetView topLeftCell="A71" workbookViewId="0">
      <selection activeCell="A92" sqref="A92"/>
    </sheetView>
  </sheetViews>
  <sheetFormatPr defaultRowHeight="15" x14ac:dyDescent="0.25"/>
  <cols>
    <col min="1" max="1" width="17.7109375" customWidth="1"/>
    <col min="2" max="2" width="13.7109375" customWidth="1"/>
    <col min="3" max="3" width="19.5703125" customWidth="1"/>
  </cols>
  <sheetData>
    <row r="3" spans="1:15" x14ac:dyDescent="0.25">
      <c r="A3" t="s">
        <v>1</v>
      </c>
      <c r="D3" t="s">
        <v>40</v>
      </c>
      <c r="H3" t="s">
        <v>38</v>
      </c>
      <c r="N3" t="s">
        <v>39</v>
      </c>
    </row>
    <row r="4" spans="1:15" x14ac:dyDescent="0.25">
      <c r="A4" t="s">
        <v>0</v>
      </c>
      <c r="D4" s="2" t="s">
        <v>4</v>
      </c>
      <c r="E4" t="s">
        <v>3</v>
      </c>
      <c r="H4" s="2" t="s">
        <v>4</v>
      </c>
      <c r="I4" t="s">
        <v>0</v>
      </c>
      <c r="N4" s="2" t="s">
        <v>4</v>
      </c>
      <c r="O4" t="s">
        <v>2</v>
      </c>
    </row>
    <row r="5" spans="1:15" x14ac:dyDescent="0.25">
      <c r="A5" s="1">
        <v>480</v>
      </c>
      <c r="D5" s="5" t="s">
        <v>7</v>
      </c>
      <c r="E5" s="3">
        <v>5.5</v>
      </c>
      <c r="H5" s="5" t="s">
        <v>7</v>
      </c>
      <c r="I5" s="1">
        <v>20</v>
      </c>
      <c r="N5" s="5" t="s">
        <v>7</v>
      </c>
      <c r="O5" s="3">
        <v>31.5</v>
      </c>
    </row>
    <row r="6" spans="1:15" x14ac:dyDescent="0.25">
      <c r="D6" s="5" t="s">
        <v>8</v>
      </c>
      <c r="E6" s="3">
        <v>3.3333333333333335</v>
      </c>
      <c r="H6" s="5" t="s">
        <v>8</v>
      </c>
      <c r="I6" s="1">
        <v>16</v>
      </c>
      <c r="N6" s="5" t="s">
        <v>8</v>
      </c>
      <c r="O6" s="3">
        <v>34.25</v>
      </c>
    </row>
    <row r="7" spans="1:15" x14ac:dyDescent="0.25">
      <c r="D7" s="5" t="s">
        <v>9</v>
      </c>
      <c r="E7" s="3">
        <v>6</v>
      </c>
      <c r="H7" s="5" t="s">
        <v>9</v>
      </c>
      <c r="I7" s="1">
        <v>20</v>
      </c>
      <c r="N7" s="5" t="s">
        <v>9</v>
      </c>
      <c r="O7" s="3">
        <v>41.1</v>
      </c>
    </row>
    <row r="8" spans="1:15" x14ac:dyDescent="0.25">
      <c r="A8" t="s">
        <v>2</v>
      </c>
      <c r="D8" s="5" t="s">
        <v>10</v>
      </c>
      <c r="E8" s="3">
        <v>4.8</v>
      </c>
      <c r="H8" s="5" t="s">
        <v>10</v>
      </c>
      <c r="I8" s="1">
        <v>16</v>
      </c>
      <c r="N8" s="5" t="s">
        <v>10</v>
      </c>
      <c r="O8" s="3">
        <v>31</v>
      </c>
    </row>
    <row r="9" spans="1:15" x14ac:dyDescent="0.25">
      <c r="A9" s="3">
        <v>34.429166666666667</v>
      </c>
      <c r="D9" s="5" t="s">
        <v>11</v>
      </c>
      <c r="E9" s="3">
        <v>5.5</v>
      </c>
      <c r="H9" s="5" t="s">
        <v>11</v>
      </c>
      <c r="I9" s="1">
        <v>18</v>
      </c>
      <c r="N9" s="5" t="s">
        <v>11</v>
      </c>
      <c r="O9" s="3">
        <v>33.666666666666664</v>
      </c>
    </row>
    <row r="10" spans="1:15" x14ac:dyDescent="0.25">
      <c r="D10" s="5" t="s">
        <v>12</v>
      </c>
      <c r="E10" s="3">
        <v>5.25</v>
      </c>
      <c r="H10" s="5" t="s">
        <v>12</v>
      </c>
      <c r="I10" s="1">
        <v>16</v>
      </c>
      <c r="N10" s="5" t="s">
        <v>12</v>
      </c>
      <c r="O10" s="3">
        <v>34.5625</v>
      </c>
    </row>
    <row r="11" spans="1:15" x14ac:dyDescent="0.25">
      <c r="A11" t="s">
        <v>3</v>
      </c>
      <c r="D11" s="5" t="s">
        <v>13</v>
      </c>
      <c r="E11" s="3">
        <v>4.8</v>
      </c>
      <c r="H11" s="5" t="s">
        <v>13</v>
      </c>
      <c r="I11" s="1">
        <v>15</v>
      </c>
      <c r="N11" s="5" t="s">
        <v>13</v>
      </c>
      <c r="O11" s="3">
        <v>34.93333333333333</v>
      </c>
    </row>
    <row r="12" spans="1:15" x14ac:dyDescent="0.25">
      <c r="A12" s="3">
        <v>5.1640625</v>
      </c>
      <c r="D12" s="5" t="s">
        <v>14</v>
      </c>
      <c r="E12" s="3">
        <v>4.5</v>
      </c>
      <c r="H12" s="5" t="s">
        <v>14</v>
      </c>
      <c r="I12" s="1">
        <v>20</v>
      </c>
      <c r="N12" s="5" t="s">
        <v>14</v>
      </c>
      <c r="O12" s="3">
        <v>36.4</v>
      </c>
    </row>
    <row r="13" spans="1:15" x14ac:dyDescent="0.25">
      <c r="D13" s="5" t="s">
        <v>15</v>
      </c>
      <c r="E13" s="3">
        <v>5</v>
      </c>
      <c r="H13" s="5" t="s">
        <v>15</v>
      </c>
      <c r="I13" s="1">
        <v>20</v>
      </c>
      <c r="N13" s="5" t="s">
        <v>15</v>
      </c>
      <c r="O13" s="3">
        <v>35.549999999999997</v>
      </c>
    </row>
    <row r="14" spans="1:15" x14ac:dyDescent="0.25">
      <c r="D14" s="5" t="s">
        <v>16</v>
      </c>
      <c r="E14" s="3">
        <v>5.333333333333333</v>
      </c>
      <c r="H14" s="5" t="s">
        <v>16</v>
      </c>
      <c r="I14" s="1">
        <v>13</v>
      </c>
      <c r="N14" s="5" t="s">
        <v>16</v>
      </c>
      <c r="O14" s="3">
        <v>30.692307692307693</v>
      </c>
    </row>
    <row r="15" spans="1:15" x14ac:dyDescent="0.25">
      <c r="D15" s="5" t="s">
        <v>17</v>
      </c>
      <c r="E15" s="3">
        <v>4.4000000000000004</v>
      </c>
      <c r="H15" s="5" t="s">
        <v>17</v>
      </c>
      <c r="I15" s="1">
        <v>18</v>
      </c>
      <c r="N15" s="5" t="s">
        <v>17</v>
      </c>
      <c r="O15" s="3">
        <v>33.611111111111114</v>
      </c>
    </row>
    <row r="16" spans="1:15" x14ac:dyDescent="0.25">
      <c r="D16" s="5" t="s">
        <v>18</v>
      </c>
      <c r="E16" s="3">
        <v>3.25</v>
      </c>
      <c r="H16" s="5" t="s">
        <v>18</v>
      </c>
      <c r="I16" s="1">
        <v>11</v>
      </c>
      <c r="N16" s="5" t="s">
        <v>18</v>
      </c>
      <c r="O16" s="3">
        <v>37.81818181818182</v>
      </c>
    </row>
    <row r="17" spans="4:15" x14ac:dyDescent="0.25">
      <c r="D17" s="5" t="s">
        <v>19</v>
      </c>
      <c r="E17" s="3">
        <v>6</v>
      </c>
      <c r="H17" s="5" t="s">
        <v>19</v>
      </c>
      <c r="I17" s="1">
        <v>13</v>
      </c>
      <c r="N17" s="5" t="s">
        <v>19</v>
      </c>
      <c r="O17" s="3">
        <v>40</v>
      </c>
    </row>
    <row r="18" spans="4:15" x14ac:dyDescent="0.25">
      <c r="D18" s="5" t="s">
        <v>20</v>
      </c>
      <c r="E18" s="3">
        <v>3.3333333333333335</v>
      </c>
      <c r="H18" s="5" t="s">
        <v>20</v>
      </c>
      <c r="I18" s="1">
        <v>14</v>
      </c>
      <c r="N18" s="5" t="s">
        <v>20</v>
      </c>
      <c r="O18" s="3">
        <v>32</v>
      </c>
    </row>
    <row r="19" spans="4:15" x14ac:dyDescent="0.25">
      <c r="D19" s="5" t="s">
        <v>22</v>
      </c>
      <c r="E19" s="3">
        <v>6.7</v>
      </c>
      <c r="H19" s="5" t="s">
        <v>21</v>
      </c>
      <c r="I19" s="1">
        <v>7</v>
      </c>
      <c r="N19" s="5" t="s">
        <v>21</v>
      </c>
      <c r="O19" s="3">
        <v>31.857142857142858</v>
      </c>
    </row>
    <row r="20" spans="4:15" x14ac:dyDescent="0.25">
      <c r="D20" s="5" t="s">
        <v>23</v>
      </c>
      <c r="E20" s="3">
        <v>7.75</v>
      </c>
      <c r="H20" s="5" t="s">
        <v>22</v>
      </c>
      <c r="I20" s="1">
        <v>21</v>
      </c>
      <c r="N20" s="5" t="s">
        <v>22</v>
      </c>
      <c r="O20" s="3">
        <v>31.142857142857142</v>
      </c>
    </row>
    <row r="21" spans="4:15" x14ac:dyDescent="0.25">
      <c r="D21" s="5" t="s">
        <v>24</v>
      </c>
      <c r="E21" s="3">
        <v>5.5</v>
      </c>
      <c r="H21" s="5" t="s">
        <v>23</v>
      </c>
      <c r="I21" s="1">
        <v>16</v>
      </c>
      <c r="N21" s="5" t="s">
        <v>23</v>
      </c>
      <c r="O21" s="3">
        <v>29.5</v>
      </c>
    </row>
    <row r="22" spans="4:15" x14ac:dyDescent="0.25">
      <c r="D22" s="5" t="s">
        <v>25</v>
      </c>
      <c r="E22" s="3">
        <v>4.5</v>
      </c>
      <c r="H22" s="5" t="s">
        <v>24</v>
      </c>
      <c r="I22" s="1">
        <v>15</v>
      </c>
      <c r="N22" s="5" t="s">
        <v>24</v>
      </c>
      <c r="O22" s="3">
        <v>30.666666666666668</v>
      </c>
    </row>
    <row r="23" spans="4:15" x14ac:dyDescent="0.25">
      <c r="D23" s="5" t="s">
        <v>26</v>
      </c>
      <c r="E23" s="3">
        <v>6</v>
      </c>
      <c r="H23" s="5" t="s">
        <v>25</v>
      </c>
      <c r="I23" s="1">
        <v>15</v>
      </c>
      <c r="N23" s="5" t="s">
        <v>25</v>
      </c>
      <c r="O23" s="3">
        <v>39.06666666666667</v>
      </c>
    </row>
    <row r="24" spans="4:15" x14ac:dyDescent="0.25">
      <c r="D24" s="5" t="s">
        <v>27</v>
      </c>
      <c r="E24" s="3">
        <v>5.75</v>
      </c>
      <c r="H24" s="5" t="s">
        <v>26</v>
      </c>
      <c r="I24" s="1">
        <v>14</v>
      </c>
      <c r="N24" s="5" t="s">
        <v>26</v>
      </c>
      <c r="O24" s="3">
        <v>32.857142857142854</v>
      </c>
    </row>
    <row r="25" spans="4:15" x14ac:dyDescent="0.25">
      <c r="D25" s="5" t="s">
        <v>28</v>
      </c>
      <c r="E25" s="3">
        <v>3.1428571428571428</v>
      </c>
      <c r="H25" s="5" t="s">
        <v>27</v>
      </c>
      <c r="I25" s="1">
        <v>16</v>
      </c>
      <c r="N25" s="5" t="s">
        <v>27</v>
      </c>
      <c r="O25" s="3">
        <v>38.3125</v>
      </c>
    </row>
    <row r="26" spans="4:15" x14ac:dyDescent="0.25">
      <c r="D26" s="5" t="s">
        <v>29</v>
      </c>
      <c r="E26" s="3">
        <v>4</v>
      </c>
      <c r="H26" s="5" t="s">
        <v>28</v>
      </c>
      <c r="I26" s="1">
        <v>21</v>
      </c>
      <c r="N26" s="5" t="s">
        <v>28</v>
      </c>
      <c r="O26" s="3">
        <v>35.80952380952381</v>
      </c>
    </row>
    <row r="27" spans="4:15" x14ac:dyDescent="0.25">
      <c r="D27" s="5" t="s">
        <v>30</v>
      </c>
      <c r="E27" s="3">
        <v>6.5</v>
      </c>
      <c r="H27" s="5" t="s">
        <v>29</v>
      </c>
      <c r="I27" s="1">
        <v>13</v>
      </c>
      <c r="N27" s="5" t="s">
        <v>29</v>
      </c>
      <c r="O27" s="3">
        <v>33.153846153846153</v>
      </c>
    </row>
    <row r="28" spans="4:15" x14ac:dyDescent="0.25">
      <c r="D28" s="5" t="s">
        <v>31</v>
      </c>
      <c r="E28" s="3">
        <v>4</v>
      </c>
      <c r="H28" s="5" t="s">
        <v>30</v>
      </c>
      <c r="I28" s="1">
        <v>11</v>
      </c>
      <c r="N28" s="5" t="s">
        <v>30</v>
      </c>
      <c r="O28" s="3">
        <v>39.18181818181818</v>
      </c>
    </row>
    <row r="29" spans="4:15" x14ac:dyDescent="0.25">
      <c r="D29" s="5" t="s">
        <v>32</v>
      </c>
      <c r="E29" s="3">
        <v>7.333333333333333</v>
      </c>
      <c r="H29" s="5" t="s">
        <v>31</v>
      </c>
      <c r="I29" s="1">
        <v>16</v>
      </c>
      <c r="N29" s="5" t="s">
        <v>31</v>
      </c>
      <c r="O29" s="3">
        <v>36.3125</v>
      </c>
    </row>
    <row r="30" spans="4:15" x14ac:dyDescent="0.25">
      <c r="D30" s="5" t="s">
        <v>33</v>
      </c>
      <c r="E30" s="3">
        <v>5.333333333333333</v>
      </c>
      <c r="H30" s="5" t="s">
        <v>32</v>
      </c>
      <c r="I30" s="1">
        <v>11</v>
      </c>
      <c r="N30" s="5" t="s">
        <v>32</v>
      </c>
      <c r="O30" s="3">
        <v>33</v>
      </c>
    </row>
    <row r="31" spans="4:15" x14ac:dyDescent="0.25">
      <c r="D31" s="5" t="s">
        <v>34</v>
      </c>
      <c r="E31" s="3">
        <v>4.75</v>
      </c>
      <c r="H31" s="5" t="s">
        <v>33</v>
      </c>
      <c r="I31" s="1">
        <v>14</v>
      </c>
      <c r="N31" s="5" t="s">
        <v>33</v>
      </c>
      <c r="O31" s="3">
        <v>32.857142857142854</v>
      </c>
    </row>
    <row r="32" spans="4:15" x14ac:dyDescent="0.25">
      <c r="D32" s="5" t="s">
        <v>35</v>
      </c>
      <c r="E32" s="3">
        <v>4</v>
      </c>
      <c r="H32" s="5" t="s">
        <v>34</v>
      </c>
      <c r="I32" s="1">
        <v>10</v>
      </c>
      <c r="N32" s="5" t="s">
        <v>34</v>
      </c>
      <c r="O32" s="3">
        <v>36.799999999999997</v>
      </c>
    </row>
    <row r="33" spans="1:15" x14ac:dyDescent="0.25">
      <c r="D33" s="5" t="s">
        <v>36</v>
      </c>
      <c r="E33" s="3">
        <v>4</v>
      </c>
      <c r="H33" s="5" t="s">
        <v>35</v>
      </c>
      <c r="I33" s="1">
        <v>15</v>
      </c>
      <c r="N33" s="5" t="s">
        <v>35</v>
      </c>
      <c r="O33" s="3">
        <v>32.866666666666667</v>
      </c>
    </row>
    <row r="34" spans="1:15" x14ac:dyDescent="0.25">
      <c r="D34" s="5" t="s">
        <v>37</v>
      </c>
      <c r="E34" s="3">
        <v>8.3333333333333339</v>
      </c>
      <c r="H34" s="5" t="s">
        <v>36</v>
      </c>
      <c r="I34" s="1">
        <v>24</v>
      </c>
      <c r="N34" s="5" t="s">
        <v>36</v>
      </c>
      <c r="O34" s="3">
        <v>32.375</v>
      </c>
    </row>
    <row r="35" spans="1:15" x14ac:dyDescent="0.25">
      <c r="D35" s="5" t="s">
        <v>5</v>
      </c>
      <c r="E35" s="3">
        <v>5.1640625</v>
      </c>
      <c r="H35" s="5" t="s">
        <v>37</v>
      </c>
      <c r="I35" s="1">
        <v>11</v>
      </c>
      <c r="N35" s="5" t="s">
        <v>37</v>
      </c>
      <c r="O35" s="3">
        <v>36</v>
      </c>
    </row>
    <row r="36" spans="1:15" x14ac:dyDescent="0.25">
      <c r="H36" s="5" t="s">
        <v>5</v>
      </c>
      <c r="I36" s="1">
        <v>480</v>
      </c>
      <c r="N36" s="5" t="s">
        <v>5</v>
      </c>
      <c r="O36" s="3">
        <v>34.429166666666667</v>
      </c>
    </row>
    <row r="42" spans="1:15" x14ac:dyDescent="0.25">
      <c r="A42" s="2" t="s">
        <v>4</v>
      </c>
      <c r="B42" t="s">
        <v>43</v>
      </c>
      <c r="C42" t="s">
        <v>44</v>
      </c>
    </row>
    <row r="43" spans="1:15" x14ac:dyDescent="0.25">
      <c r="A43" s="5" t="s">
        <v>41</v>
      </c>
      <c r="B43" s="3">
        <v>229</v>
      </c>
      <c r="C43" s="6">
        <v>0.47708333333333336</v>
      </c>
    </row>
    <row r="44" spans="1:15" x14ac:dyDescent="0.25">
      <c r="A44" s="5" t="s">
        <v>42</v>
      </c>
      <c r="B44" s="3">
        <v>251</v>
      </c>
      <c r="C44" s="6">
        <v>0.5229166666666667</v>
      </c>
    </row>
    <row r="45" spans="1:15" x14ac:dyDescent="0.25">
      <c r="A45" s="5" t="s">
        <v>5</v>
      </c>
      <c r="B45" s="3">
        <v>480</v>
      </c>
      <c r="C45" s="6">
        <v>1</v>
      </c>
    </row>
    <row r="49" spans="1:5" x14ac:dyDescent="0.25">
      <c r="A49" s="7" t="s">
        <v>45</v>
      </c>
      <c r="B49" s="7" t="s">
        <v>46</v>
      </c>
      <c r="C49" s="7" t="s">
        <v>47</v>
      </c>
      <c r="D49" s="7"/>
      <c r="E49" s="7"/>
    </row>
    <row r="50" spans="1:5" x14ac:dyDescent="0.25">
      <c r="A50" s="8" t="str">
        <f>A44</f>
        <v>Not Admitted</v>
      </c>
      <c r="B50" s="8">
        <f>B44</f>
        <v>251</v>
      </c>
      <c r="C50" s="9">
        <f>C44</f>
        <v>0.5229166666666667</v>
      </c>
    </row>
    <row r="51" spans="1:5" x14ac:dyDescent="0.25">
      <c r="A51" s="8" t="str">
        <f>A43</f>
        <v>Admitted</v>
      </c>
      <c r="B51" s="8">
        <f>B43</f>
        <v>229</v>
      </c>
      <c r="C51" s="9">
        <f>C43</f>
        <v>0.47708333333333336</v>
      </c>
    </row>
    <row r="54" spans="1:5" x14ac:dyDescent="0.25">
      <c r="A54" t="s">
        <v>57</v>
      </c>
    </row>
    <row r="55" spans="1:5" x14ac:dyDescent="0.25">
      <c r="A55" s="2" t="s">
        <v>4</v>
      </c>
      <c r="B55" t="s">
        <v>56</v>
      </c>
    </row>
    <row r="56" spans="1:5" x14ac:dyDescent="0.25">
      <c r="A56" s="5" t="s">
        <v>48</v>
      </c>
      <c r="B56" s="10">
        <v>63</v>
      </c>
    </row>
    <row r="57" spans="1:5" x14ac:dyDescent="0.25">
      <c r="A57" s="5" t="s">
        <v>49</v>
      </c>
      <c r="B57" s="10">
        <v>49</v>
      </c>
    </row>
    <row r="58" spans="1:5" x14ac:dyDescent="0.25">
      <c r="A58" s="5" t="s">
        <v>50</v>
      </c>
      <c r="B58" s="10">
        <v>57</v>
      </c>
    </row>
    <row r="59" spans="1:5" x14ac:dyDescent="0.25">
      <c r="A59" s="5" t="s">
        <v>51</v>
      </c>
      <c r="B59" s="10">
        <v>73</v>
      </c>
    </row>
    <row r="60" spans="1:5" x14ac:dyDescent="0.25">
      <c r="A60" s="5" t="s">
        <v>52</v>
      </c>
      <c r="B60" s="10">
        <v>63</v>
      </c>
    </row>
    <row r="61" spans="1:5" x14ac:dyDescent="0.25">
      <c r="A61" s="5" t="s">
        <v>53</v>
      </c>
      <c r="B61" s="10">
        <v>60</v>
      </c>
    </row>
    <row r="62" spans="1:5" x14ac:dyDescent="0.25">
      <c r="A62" s="5" t="s">
        <v>54</v>
      </c>
      <c r="B62" s="10">
        <v>57</v>
      </c>
    </row>
    <row r="63" spans="1:5" x14ac:dyDescent="0.25">
      <c r="A63" s="5" t="s">
        <v>55</v>
      </c>
      <c r="B63" s="10">
        <v>58</v>
      </c>
    </row>
    <row r="64" spans="1:5" x14ac:dyDescent="0.25">
      <c r="A64" s="5" t="s">
        <v>5</v>
      </c>
      <c r="B64" s="3">
        <v>480</v>
      </c>
    </row>
    <row r="66" spans="1:2" x14ac:dyDescent="0.25">
      <c r="A66" s="5" t="s">
        <v>61</v>
      </c>
    </row>
    <row r="67" spans="1:2" x14ac:dyDescent="0.25">
      <c r="A67" s="2" t="s">
        <v>4</v>
      </c>
      <c r="B67" t="s">
        <v>60</v>
      </c>
    </row>
    <row r="68" spans="1:2" x14ac:dyDescent="0.25">
      <c r="A68" s="5" t="s">
        <v>58</v>
      </c>
      <c r="B68" s="10">
        <v>282</v>
      </c>
    </row>
    <row r="69" spans="1:2" x14ac:dyDescent="0.25">
      <c r="A69" s="5" t="s">
        <v>59</v>
      </c>
      <c r="B69" s="10">
        <v>198</v>
      </c>
    </row>
    <row r="70" spans="1:2" x14ac:dyDescent="0.25">
      <c r="A70" s="5" t="s">
        <v>5</v>
      </c>
      <c r="B70" s="10">
        <v>480</v>
      </c>
    </row>
    <row r="73" spans="1:2" x14ac:dyDescent="0.25">
      <c r="A73" s="2" t="s">
        <v>4</v>
      </c>
      <c r="B73" t="s">
        <v>64</v>
      </c>
    </row>
    <row r="74" spans="1:2" x14ac:dyDescent="0.25">
      <c r="A74" s="5" t="s">
        <v>62</v>
      </c>
      <c r="B74" s="10">
        <v>261</v>
      </c>
    </row>
    <row r="75" spans="1:2" x14ac:dyDescent="0.25">
      <c r="A75" s="5" t="s">
        <v>63</v>
      </c>
      <c r="B75" s="10">
        <v>219</v>
      </c>
    </row>
    <row r="76" spans="1:2" x14ac:dyDescent="0.25">
      <c r="A76" s="5" t="s">
        <v>5</v>
      </c>
      <c r="B76" s="10">
        <v>480</v>
      </c>
    </row>
    <row r="79" spans="1:2" x14ac:dyDescent="0.25">
      <c r="A79" s="2" t="s">
        <v>4</v>
      </c>
      <c r="B79" t="s">
        <v>73</v>
      </c>
    </row>
    <row r="80" spans="1:2" x14ac:dyDescent="0.25">
      <c r="A80" s="5" t="s">
        <v>72</v>
      </c>
      <c r="B80" s="10">
        <v>6</v>
      </c>
    </row>
    <row r="81" spans="1:2" x14ac:dyDescent="0.25">
      <c r="A81" s="5" t="s">
        <v>68</v>
      </c>
      <c r="B81" s="10">
        <v>11</v>
      </c>
    </row>
    <row r="82" spans="1:2" x14ac:dyDescent="0.25">
      <c r="A82" s="5" t="s">
        <v>65</v>
      </c>
      <c r="B82" s="10">
        <v>12</v>
      </c>
    </row>
    <row r="83" spans="1:2" x14ac:dyDescent="0.25">
      <c r="A83" s="5" t="s">
        <v>66</v>
      </c>
      <c r="B83" s="10">
        <v>12</v>
      </c>
    </row>
    <row r="84" spans="1:2" x14ac:dyDescent="0.25">
      <c r="A84" s="5" t="s">
        <v>71</v>
      </c>
      <c r="B84" s="10">
        <v>20</v>
      </c>
    </row>
    <row r="85" spans="1:2" x14ac:dyDescent="0.25">
      <c r="A85" s="5" t="s">
        <v>70</v>
      </c>
      <c r="B85" s="10">
        <v>35</v>
      </c>
    </row>
    <row r="86" spans="1:2" x14ac:dyDescent="0.25">
      <c r="A86" s="5" t="s">
        <v>67</v>
      </c>
      <c r="B86" s="10">
        <v>93</v>
      </c>
    </row>
    <row r="87" spans="1:2" x14ac:dyDescent="0.25">
      <c r="A87" s="5" t="s">
        <v>69</v>
      </c>
      <c r="B87" s="10">
        <v>291</v>
      </c>
    </row>
    <row r="88" spans="1:2" x14ac:dyDescent="0.25">
      <c r="A88" s="5" t="s">
        <v>5</v>
      </c>
      <c r="B88" s="10">
        <v>480</v>
      </c>
    </row>
    <row r="91" spans="1:2" x14ac:dyDescent="0.25">
      <c r="A91" s="2" t="s">
        <v>4</v>
      </c>
    </row>
    <row r="92" spans="1:2" x14ac:dyDescent="0.25">
      <c r="A92" s="5" t="s">
        <v>6</v>
      </c>
    </row>
    <row r="93" spans="1:2" x14ac:dyDescent="0.25">
      <c r="A93" s="5"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D53B-ED60-4870-A914-B60FF16897FF}">
  <dimension ref="A1"/>
  <sheetViews>
    <sheetView tabSelected="1" zoomScale="184" zoomScaleNormal="184" workbookViewId="0">
      <selection activeCell="L11" sqref="L11"/>
    </sheetView>
  </sheetViews>
  <sheetFormatPr defaultRowHeight="15" x14ac:dyDescent="0.25"/>
  <cols>
    <col min="1" max="11" width="9.140625" style="4"/>
    <col min="12" max="12" width="17" style="4" customWidth="1"/>
    <col min="13" max="16384" width="9.140625" style="4"/>
  </cols>
  <sheetData/>
  <pageMargins left="0.7" right="0.7" top="0.75" bottom="0.75" header="0.3" footer="0.3"/>
  <pageSetup orientation="portrait" horizontalDpi="300" verticalDpi="300"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717C-FBC1-4681-A5EC-EADB05D54C53}">
  <dimension ref="A1"/>
  <sheetViews>
    <sheetView workbookViewId="0">
      <selection activeCell="Q22" sqref="Q2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9E844-30E1-4139-A00A-B601C9AFB17F}">
  <dimension ref="A1"/>
  <sheetViews>
    <sheetView workbookViewId="0">
      <selection activeCell="R24" sqref="R24"/>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3A39-09A1-4483-8E6D-F13116EB3F68}">
  <dimension ref="A1"/>
  <sheetViews>
    <sheetView workbookViewId="0">
      <selection activeCell="P6" sqref="P6"/>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8362BEF-4DBF-451A-A49A-0AE5CF4DE5D6}">
  <ds:schemaRefs/>
</ds:datastoreItem>
</file>

<file path=customXml/itemProps2.xml><?xml version="1.0" encoding="utf-8"?>
<ds:datastoreItem xmlns:ds="http://schemas.openxmlformats.org/officeDocument/2006/customXml" ds:itemID="{91445ED8-EE93-4687-8AE4-2E961C9606C9}">
  <ds:schemaRefs/>
</ds:datastoreItem>
</file>

<file path=customXml/itemProps3.xml><?xml version="1.0" encoding="utf-8"?>
<ds:datastoreItem xmlns:ds="http://schemas.openxmlformats.org/officeDocument/2006/customXml" ds:itemID="{584DB318-2A43-4723-A531-F2B967101A78}">
  <ds:schemaRefs/>
</ds:datastoreItem>
</file>

<file path=customXml/itemProps4.xml><?xml version="1.0" encoding="utf-8"?>
<ds:datastoreItem xmlns:ds="http://schemas.openxmlformats.org/officeDocument/2006/customXml" ds:itemID="{38B409E6-93F8-438E-BE55-0F8B00A3CED1}">
  <ds:schemaRefs/>
</ds:datastoreItem>
</file>

<file path=customXml/itemProps5.xml><?xml version="1.0" encoding="utf-8"?>
<ds:datastoreItem xmlns:ds="http://schemas.openxmlformats.org/officeDocument/2006/customXml" ds:itemID="{6CD7F017-514E-46A5-B466-831565A562CC}">
  <ds:schemaRefs/>
</ds:datastoreItem>
</file>

<file path=customXml/itemProps6.xml><?xml version="1.0" encoding="utf-8"?>
<ds:datastoreItem xmlns:ds="http://schemas.openxmlformats.org/officeDocument/2006/customXml" ds:itemID="{A82CE54D-F49E-4744-8036-C52956CEEF6A}">
  <ds:schemaRefs/>
</ds:datastoreItem>
</file>

<file path=customXml/itemProps7.xml><?xml version="1.0" encoding="utf-8"?>
<ds:datastoreItem xmlns:ds="http://schemas.openxmlformats.org/officeDocument/2006/customXml" ds:itemID="{1D689ABF-70C4-4B20-919F-33C5C24CACA8}">
  <ds:schemaRefs/>
</ds:datastoreItem>
</file>

<file path=customXml/itemProps8.xml><?xml version="1.0" encoding="utf-8"?>
<ds:datastoreItem xmlns:ds="http://schemas.openxmlformats.org/officeDocument/2006/customXml" ds:itemID="{B2C7FFAF-7066-498A-8D30-DA81354D2749}">
  <ds:schemaRefs/>
</ds:datastoreItem>
</file>

<file path=customXml/itemProps9.xml><?xml version="1.0" encoding="utf-8"?>
<ds:datastoreItem xmlns:ds="http://schemas.openxmlformats.org/officeDocument/2006/customXml" ds:itemID="{97FD55A5-175C-4702-8F62-A50C2C563FA8}">
  <ds:schemaRefs/>
</ds:datastoreItem>
</file>

<file path=customXml/itemProps10.xml><?xml version="1.0" encoding="utf-8"?>
<ds:datastoreItem xmlns:ds="http://schemas.openxmlformats.org/officeDocument/2006/customXml" ds:itemID="{F978D8AA-7AB5-4A6B-85B7-0641031C7919}">
  <ds:schemaRefs/>
</ds:datastoreItem>
</file>

<file path=customXml/itemProps11.xml><?xml version="1.0" encoding="utf-8"?>
<ds:datastoreItem xmlns:ds="http://schemas.openxmlformats.org/officeDocument/2006/customXml" ds:itemID="{0A4EE8E3-989B-41F3-9DD0-A3A75B678122}">
  <ds:schemaRefs/>
</ds:datastoreItem>
</file>

<file path=customXml/itemProps12.xml><?xml version="1.0" encoding="utf-8"?>
<ds:datastoreItem xmlns:ds="http://schemas.openxmlformats.org/officeDocument/2006/customXml" ds:itemID="{95E6D8BB-FC75-4D67-A761-C18B2644C9CF}">
  <ds:schemaRefs>
    <ds:schemaRef ds:uri="http://schemas.microsoft.com/DataMashup"/>
  </ds:schemaRefs>
</ds:datastoreItem>
</file>

<file path=customXml/itemProps13.xml><?xml version="1.0" encoding="utf-8"?>
<ds:datastoreItem xmlns:ds="http://schemas.openxmlformats.org/officeDocument/2006/customXml" ds:itemID="{2A39E9DD-E7E4-4CC9-B0D6-9A199CBF063F}">
  <ds:schemaRefs/>
</ds:datastoreItem>
</file>

<file path=customXml/itemProps14.xml><?xml version="1.0" encoding="utf-8"?>
<ds:datastoreItem xmlns:ds="http://schemas.openxmlformats.org/officeDocument/2006/customXml" ds:itemID="{5629221B-11D4-4153-AB9B-5A3E9DDBA67F}">
  <ds:schemaRefs/>
</ds:datastoreItem>
</file>

<file path=customXml/itemProps15.xml><?xml version="1.0" encoding="utf-8"?>
<ds:datastoreItem xmlns:ds="http://schemas.openxmlformats.org/officeDocument/2006/customXml" ds:itemID="{8743C6FB-D263-49A9-AFCC-2538F713B574}">
  <ds:schemaRefs/>
</ds:datastoreItem>
</file>

<file path=customXml/itemProps16.xml><?xml version="1.0" encoding="utf-8"?>
<ds:datastoreItem xmlns:ds="http://schemas.openxmlformats.org/officeDocument/2006/customXml" ds:itemID="{DF830982-C935-4CAA-BE95-1DE5DAF66A14}">
  <ds:schemaRefs/>
</ds:datastoreItem>
</file>

<file path=customXml/itemProps17.xml><?xml version="1.0" encoding="utf-8"?>
<ds:datastoreItem xmlns:ds="http://schemas.openxmlformats.org/officeDocument/2006/customXml" ds:itemID="{B21B7731-CAC0-49D4-882E-B43826D47A47}">
  <ds:schemaRefs/>
</ds:datastoreItem>
</file>

<file path=customXml/itemProps18.xml><?xml version="1.0" encoding="utf-8"?>
<ds:datastoreItem xmlns:ds="http://schemas.openxmlformats.org/officeDocument/2006/customXml" ds:itemID="{A4D900A4-BE85-475B-804D-BE9AC7350C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Patient Saticfaction Score</vt:lpstr>
      <vt:lpstr>Avg wait time</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Kesu Singh</dc:creator>
  <cp:lastModifiedBy>Kesu Singh</cp:lastModifiedBy>
  <dcterms:created xsi:type="dcterms:W3CDTF">2026-03-12T15:27:39Z</dcterms:created>
  <dcterms:modified xsi:type="dcterms:W3CDTF">2026-03-21T22:25:42Z</dcterms:modified>
</cp:coreProperties>
</file>